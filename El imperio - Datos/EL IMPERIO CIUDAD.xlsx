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JA SEMANAL" sheetId="1" r:id="rId4"/>
    <sheet state="visible" name="LUNE, MARTE, MIERCOLE" sheetId="2" r:id="rId5"/>
    <sheet state="visible" name="JUEVE, VIERNE, SABADUKI" sheetId="3" r:id="rId6"/>
    <sheet state="visible" name="Hoja 27" sheetId="4" r:id="rId7"/>
    <sheet state="visible" name="Hoja 25" sheetId="5" r:id="rId8"/>
    <sheet state="visible" name="Hoja 26" sheetId="6" r:id="rId9"/>
    <sheet state="visible" name="CALCULADORA " sheetId="7" r:id="rId10"/>
    <sheet state="visible" name="PRECIO CELUS" sheetId="8" r:id="rId11"/>
  </sheets>
  <definedNames>
    <definedName name="TABLA3">#REF!</definedName>
    <definedName name="TABLA1">#REF!</definedName>
    <definedName localSheetId="1" name="DOMAGIC1">'LUNE, MARTE, MIERCOLE'!$A$2:$G$84</definedName>
    <definedName localSheetId="2" name="DOMAGIC1">'JUEVE, VIERNE, SABADUKI'!$A$2:$G$13</definedName>
    <definedName name="DOMAGIC1">#REF!</definedName>
    <definedName name="TABLA2">#REF!</definedName>
  </definedNames>
  <calcPr/>
</workbook>
</file>

<file path=xl/sharedStrings.xml><?xml version="1.0" encoding="utf-8"?>
<sst xmlns="http://schemas.openxmlformats.org/spreadsheetml/2006/main" count="1223" uniqueCount="313">
  <si>
    <t>EL IMPERIO</t>
  </si>
  <si>
    <t>SUMA TOTAL DE LA SEMANA</t>
  </si>
  <si>
    <t xml:space="preserve">DO MAGIC </t>
  </si>
  <si>
    <t>LUNES</t>
  </si>
  <si>
    <t>MARTES</t>
  </si>
  <si>
    <t>MIERCOLES</t>
  </si>
  <si>
    <t xml:space="preserve">JUEVES </t>
  </si>
  <si>
    <t xml:space="preserve">VIERNES </t>
  </si>
  <si>
    <t xml:space="preserve">SABADO </t>
  </si>
  <si>
    <t>TOTAL</t>
  </si>
  <si>
    <t>GRIMBLER</t>
  </si>
  <si>
    <t>SERGIO GODOY</t>
  </si>
  <si>
    <t>ALEJANDRA</t>
  </si>
  <si>
    <t>VERDULERIA</t>
  </si>
  <si>
    <t>CELE</t>
  </si>
  <si>
    <t>MARCELA</t>
  </si>
  <si>
    <t>A PAGAR DO MAGIC</t>
  </si>
  <si>
    <t>z</t>
  </si>
  <si>
    <t>NOMBRE DE CLIENTE</t>
  </si>
  <si>
    <t>MITA EFECTIVO</t>
  </si>
  <si>
    <t>IMPORTE</t>
  </si>
  <si>
    <t>PAGO X DIA</t>
  </si>
  <si>
    <t>MER</t>
  </si>
  <si>
    <t>EFE</t>
  </si>
  <si>
    <t>MITAD MERCADO</t>
  </si>
  <si>
    <t>LUZ VERDE</t>
  </si>
  <si>
    <t>VICENTE</t>
  </si>
  <si>
    <t xml:space="preserve">MIRU REYES </t>
  </si>
  <si>
    <t>PAOLA/OMAR</t>
  </si>
  <si>
    <t>DIEGO</t>
  </si>
  <si>
    <t>YAKI DEL SUR</t>
  </si>
  <si>
    <t>CRISTIAN</t>
  </si>
  <si>
    <t>LARITZA</t>
  </si>
  <si>
    <t>VANESA</t>
  </si>
  <si>
    <t>DIANA</t>
  </si>
  <si>
    <t>SERGIO FREEZER</t>
  </si>
  <si>
    <t>YESICA</t>
  </si>
  <si>
    <t>GABRIELA</t>
  </si>
  <si>
    <t>ALEJANDRO GARCIA</t>
  </si>
  <si>
    <t>ESTER LINCE</t>
  </si>
  <si>
    <t>CLAUDIA VERDULERIA</t>
  </si>
  <si>
    <t>CLAUDIA HNA</t>
  </si>
  <si>
    <t>CLAUDIA MADRE</t>
  </si>
  <si>
    <t>RAQUEL MAQUINA FIAMBRE</t>
  </si>
  <si>
    <t>RAQUEL CREDITO</t>
  </si>
  <si>
    <t>ANA GODOY ROTI</t>
  </si>
  <si>
    <t>RAMONA</t>
  </si>
  <si>
    <t>JULIETA VERDULERIA</t>
  </si>
  <si>
    <t>CECILIA CENTRO</t>
  </si>
  <si>
    <t>EDUARDO COMPUTACION</t>
  </si>
  <si>
    <t>BATIDORA</t>
  </si>
  <si>
    <t>EMANUEL</t>
  </si>
  <si>
    <t>RODRIGO Drugstore</t>
  </si>
  <si>
    <t>JAVIER PELLEGRINI</t>
  </si>
  <si>
    <t>SANTIAGO VERDULERIA MAIPU</t>
  </si>
  <si>
    <t>VALE BUSTOS(IMPERIO)</t>
  </si>
  <si>
    <t>LUCIANO ESPAÑA</t>
  </si>
  <si>
    <t>RENE</t>
  </si>
  <si>
    <t>AGUSTÍN IPHONE</t>
  </si>
  <si>
    <t>LUCHO</t>
  </si>
  <si>
    <t>LUCHO iphone</t>
  </si>
  <si>
    <t>ESTEBAN</t>
  </si>
  <si>
    <t xml:space="preserve">LU </t>
  </si>
  <si>
    <t>NICO</t>
  </si>
  <si>
    <t>ESTER</t>
  </si>
  <si>
    <t>CALDERON GLADY (imperio)</t>
  </si>
  <si>
    <t>ANA MIRANDA</t>
  </si>
  <si>
    <t>SANTORO JESUS</t>
  </si>
  <si>
    <t>BULLONES SANCHEZ ARIEL (imperio)</t>
  </si>
  <si>
    <t>JOACO(imperio)</t>
  </si>
  <si>
    <t>LIDIA</t>
  </si>
  <si>
    <t>VERDULERO JARDIN</t>
  </si>
  <si>
    <t>MARI(imperio)</t>
  </si>
  <si>
    <t>BELEN</t>
  </si>
  <si>
    <t>VIVIANA(IMPERIO)</t>
  </si>
  <si>
    <t>OSCAR</t>
  </si>
  <si>
    <t>JOSE/ CRISTINA</t>
  </si>
  <si>
    <t>SARA YURIKA(imperio)</t>
  </si>
  <si>
    <t>ATILIO(IMPERIO)</t>
  </si>
  <si>
    <t>ATILIO(IMPERIO) (PAREJA)</t>
  </si>
  <si>
    <t>ATILIO(IMPERIO) MOTO</t>
  </si>
  <si>
    <t>VIVIANA 500 NORTE</t>
  </si>
  <si>
    <t>CRISTINA (IMPERIO)</t>
  </si>
  <si>
    <t>MATIAS MUÑOZ(imperio)</t>
  </si>
  <si>
    <t>IPHONE ELIANA</t>
  </si>
  <si>
    <t>HECTOR</t>
  </si>
  <si>
    <t>MARU</t>
  </si>
  <si>
    <t>BARBERO LAFINUR</t>
  </si>
  <si>
    <t>LA ALE</t>
  </si>
  <si>
    <t>LEONEL BECERRA HELADERA</t>
  </si>
  <si>
    <t>LEONEL BECERRA PRESTAMO</t>
  </si>
  <si>
    <t>SANDRA CENTRO</t>
  </si>
  <si>
    <t>VICTOR ACUÑA(imperio)</t>
  </si>
  <si>
    <t>LEO (imperio)</t>
  </si>
  <si>
    <t>ALEXANDER CUBANO</t>
  </si>
  <si>
    <t>TOTAL RECORRIDO</t>
  </si>
  <si>
    <t xml:space="preserve">MERCADO PAGO </t>
  </si>
  <si>
    <t>AGUSTIN VIDELA</t>
  </si>
  <si>
    <t>JUANI</t>
  </si>
  <si>
    <t>MARIANA SAMSUNG</t>
  </si>
  <si>
    <t>MARIANA</t>
  </si>
  <si>
    <t>HECTOR VIANDA</t>
  </si>
  <si>
    <t>RICARDO /CARLA</t>
  </si>
  <si>
    <t>LUIS ALBERTO</t>
  </si>
  <si>
    <t>MARCELA ZAPATA(imperio)</t>
  </si>
  <si>
    <t>GRIMBLER(imperio)</t>
  </si>
  <si>
    <t>JONATHAN REMISERO</t>
  </si>
  <si>
    <t>SILVINA MACHUCA(imperio)</t>
  </si>
  <si>
    <t>JESUS PRESTAMOS</t>
  </si>
  <si>
    <t>WALTER</t>
  </si>
  <si>
    <t>MAURO</t>
  </si>
  <si>
    <t>SEMANAL</t>
  </si>
  <si>
    <t>BELÉN 500 sur uber LUNES</t>
  </si>
  <si>
    <t>EMI IPHONE VIERNES</t>
  </si>
  <si>
    <t>PLANES EN CURSO</t>
  </si>
  <si>
    <t>CAMILA PANADERIA</t>
  </si>
  <si>
    <t>CINTHIA</t>
  </si>
  <si>
    <t>ALE FIOCHI</t>
  </si>
  <si>
    <t>MARTINES ROBERTO</t>
  </si>
  <si>
    <t>BLACK LIST</t>
  </si>
  <si>
    <t>PABLO</t>
  </si>
  <si>
    <t>EUGENIA</t>
  </si>
  <si>
    <t>ALEJANDRO(imperio)</t>
  </si>
  <si>
    <t>GASTON</t>
  </si>
  <si>
    <t>COLORES PELUQUERO</t>
  </si>
  <si>
    <t>JESUS</t>
  </si>
  <si>
    <t>SERGIO GODOY EVA</t>
  </si>
  <si>
    <t>LUCIANA AGUERO</t>
  </si>
  <si>
    <t>FLAVIA</t>
  </si>
  <si>
    <t>ESTEBAN CELULAR</t>
  </si>
  <si>
    <t>SUMA TOTAL</t>
  </si>
  <si>
    <t xml:space="preserve">bc   </t>
  </si>
  <si>
    <t xml:space="preserve">       </t>
  </si>
  <si>
    <t xml:space="preserve"> </t>
  </si>
  <si>
    <t>CUOTA</t>
  </si>
  <si>
    <t>MONTO</t>
  </si>
  <si>
    <t>LADIS</t>
  </si>
  <si>
    <t>JONA</t>
  </si>
  <si>
    <t>SANTI</t>
  </si>
  <si>
    <t>EMI MONMANY</t>
  </si>
  <si>
    <t>MARTIN</t>
  </si>
  <si>
    <t>EMI TRABADO</t>
  </si>
  <si>
    <t>SEBA</t>
  </si>
  <si>
    <t>ELIAS</t>
  </si>
  <si>
    <t>LUCAS</t>
  </si>
  <si>
    <t>AGUSTIN</t>
  </si>
  <si>
    <t>NOMBRE</t>
  </si>
  <si>
    <t>LUCAS PAPA</t>
  </si>
  <si>
    <t>MARCOS</t>
  </si>
  <si>
    <t>EFECTIVO/TRANFERENCIA</t>
  </si>
  <si>
    <t>ALAN</t>
  </si>
  <si>
    <t>JORGE</t>
  </si>
  <si>
    <t>Muchas gracias por su compra! Aquí estan los enlaces con los diseños, solo me confirma si puedes acceder</t>
  </si>
  <si>
    <t>PARTE 1:</t>
  </si>
  <si>
    <t>https://drive.google.com/drive/folders/1P2Lt8A7gXjXWFbSIKrzBK_HA_F_nLwT8?usp=drive_link</t>
  </si>
  <si>
    <t>PARTE 2:</t>
  </si>
  <si>
    <t>https://drive.google.com/drive/folders/1sObeS0B_y4M52iiLtKOnZD4EcPezUyvZ?usp=drive_link</t>
  </si>
  <si>
    <t>BORDADOS</t>
  </si>
  <si>
    <t>https://drive.google.com/drive/folders/1cq_7TzCTeCiJtVfqK5dgCIMsq2mrwm5_</t>
  </si>
  <si>
    <t>https://drive.google.com/drive/folders/1zk1THZVtrIlfYRDyIA7MZWHa2G6K4SAV?usp=sharing</t>
  </si>
  <si>
    <t>*(SI REALIZAS UN COMENTARIO EN LA PÁGINA CON TU OPINIÓN MAS SINCERA DE LOS DISEÑOS, ATENCIÓN Y DEJAS DEDITO ARRIBA👍🏼 , TE GANAS LOS DEMÁS REGALOS)🎁🔥*</t>
  </si>
  <si>
    <t>*Muchas gracias por compartir tu opinión con INCULTURA GRÁFICA MX, mucho éxito!*</t>
  </si>
  <si>
    <t>EXTRAS</t>
  </si>
  <si>
    <t>https://drive.google.com/drive/folders/1U7u8PJKjwnOTK2wM-XkzzZV3Ic2Wlq5M?usp=sharing</t>
  </si>
  <si>
    <t>EBOOK EMPRENDE CON PLAYERAS PERSONALZIADAS</t>
  </si>
  <si>
    <t>https://drive.google.com/file/d/1qFa-kr_8ABhE_erdeWwjD1ee0ozK0tr3/view?usp=sharing</t>
  </si>
  <si>
    <t>TALLE</t>
  </si>
  <si>
    <t xml:space="preserve">ALTO </t>
  </si>
  <si>
    <t>ANCHO</t>
  </si>
  <si>
    <t>CUELLO</t>
  </si>
  <si>
    <t>S</t>
  </si>
  <si>
    <t>20 ALTO X 9 ANCHO</t>
  </si>
  <si>
    <t>M</t>
  </si>
  <si>
    <t>21 ALTO X 9 ANCHO</t>
  </si>
  <si>
    <t>L</t>
  </si>
  <si>
    <t>22 ALTO X 9 ANCHO</t>
  </si>
  <si>
    <t>XL</t>
  </si>
  <si>
    <t>23 ALTO X 9 ANCHO</t>
  </si>
  <si>
    <t>CALCULADORA IPHONE</t>
  </si>
  <si>
    <t>DIAS</t>
  </si>
  <si>
    <t>CUOTAS</t>
  </si>
  <si>
    <t>PRECIO FINAL</t>
  </si>
  <si>
    <t>VALOR</t>
  </si>
  <si>
    <t>INTERES</t>
  </si>
  <si>
    <t>DOLAR</t>
  </si>
  <si>
    <t>ENTREGA</t>
  </si>
  <si>
    <t>ENVIO</t>
  </si>
  <si>
    <t>CUOTA MES</t>
  </si>
  <si>
    <t>CAPITAL</t>
  </si>
  <si>
    <t>PESOS</t>
  </si>
  <si>
    <t>1 MES</t>
  </si>
  <si>
    <t>2 MES</t>
  </si>
  <si>
    <t>3 MES</t>
  </si>
  <si>
    <t>4 MES</t>
  </si>
  <si>
    <t>5 MES</t>
  </si>
  <si>
    <t>drean 630222</t>
  </si>
  <si>
    <t>6 MES</t>
  </si>
  <si>
    <t>samsung 868200</t>
  </si>
  <si>
    <t>nuevo</t>
  </si>
  <si>
    <t>horno</t>
  </si>
  <si>
    <t>usado</t>
  </si>
  <si>
    <t>freezer chico o mediano</t>
  </si>
  <si>
    <t xml:space="preserve">freidora </t>
  </si>
  <si>
    <t>heladera exhibidora</t>
  </si>
  <si>
    <t xml:space="preserve">226 usd </t>
  </si>
  <si>
    <t>PARAMETROS</t>
  </si>
  <si>
    <t xml:space="preserve">VALORES </t>
  </si>
  <si>
    <t xml:space="preserve">CALCULOS </t>
  </si>
  <si>
    <t>RESULTADOS</t>
  </si>
  <si>
    <t>IPHONE</t>
  </si>
  <si>
    <t xml:space="preserve">GARANTIA </t>
  </si>
  <si>
    <t>PRECIO CLIENTE</t>
  </si>
  <si>
    <t>MERCADO LIBRE</t>
  </si>
  <si>
    <t xml:space="preserve">COSTO PESOS </t>
  </si>
  <si>
    <t>COSTO USD</t>
  </si>
  <si>
    <t>SAMSUNG</t>
  </si>
  <si>
    <t>A05 4RAM/64GB</t>
  </si>
  <si>
    <t>3 MESES</t>
  </si>
  <si>
    <t>A05 4RAM/128GB</t>
  </si>
  <si>
    <t>A05S 4RAM/64GB</t>
  </si>
  <si>
    <t xml:space="preserve">A06 4/64GB </t>
  </si>
  <si>
    <t xml:space="preserve">A06 4RAM+128GB  - DS </t>
  </si>
  <si>
    <t xml:space="preserve">A15 4RAM - 128GB </t>
  </si>
  <si>
    <t xml:space="preserve">A15 8RAM - 256GB 5G DS </t>
  </si>
  <si>
    <t>A25 5G 6RAM - 128GB</t>
  </si>
  <si>
    <t>A25 5G 8RAM - 256GB</t>
  </si>
  <si>
    <t>A35 5G 8RAM - 256GB</t>
  </si>
  <si>
    <t>A55 5G 8RAM - 128GB</t>
  </si>
  <si>
    <t>M34 6RAM - 125GB 5G DS</t>
  </si>
  <si>
    <t>S24 8RAM - 128 5G DS</t>
  </si>
  <si>
    <t>S24 8RAM - 256 GB</t>
  </si>
  <si>
    <t>S24 PLUS 12RAM + 512GB 5G DS</t>
  </si>
  <si>
    <t>S24 ULTRA 12RAM + 256GB 5G DS</t>
  </si>
  <si>
    <t xml:space="preserve">S24 ULTRA 12RAM + 512GB 5G DS </t>
  </si>
  <si>
    <t>MOTOROLA</t>
  </si>
  <si>
    <t>E14 2RAM + 64GB</t>
  </si>
  <si>
    <t>604 4RAM + 128GB</t>
  </si>
  <si>
    <t>G14 8RAM + 256GB</t>
  </si>
  <si>
    <t>G24 4RAM + 256GB</t>
  </si>
  <si>
    <t>G24 POWER 8RAM + 256GB</t>
  </si>
  <si>
    <t>G54 5G 12RAM + 256GB</t>
  </si>
  <si>
    <t>G62 5G 6RAM + 128GB</t>
  </si>
  <si>
    <t>G84 5G 8RAM + 256GB</t>
  </si>
  <si>
    <t>G85 5G 8RAM + 256GB</t>
  </si>
  <si>
    <t>RAZR 40 ULTRA 12RAM + 512GB</t>
  </si>
  <si>
    <t>ESTADO</t>
  </si>
  <si>
    <t xml:space="preserve">USD </t>
  </si>
  <si>
    <t xml:space="preserve">NEW LIST </t>
  </si>
  <si>
    <t>PRECIO CLIENTE / CONTADO</t>
  </si>
  <si>
    <t>A05 128GB DOBLE SIM</t>
  </si>
  <si>
    <t>A05S 128GB + 4RAM DOBLE SIM</t>
  </si>
  <si>
    <t>30 DIAS</t>
  </si>
  <si>
    <t xml:space="preserve">60 DIAS </t>
  </si>
  <si>
    <t xml:space="preserve">90 DIAS </t>
  </si>
  <si>
    <t>120 DIAS+</t>
  </si>
  <si>
    <t xml:space="preserve">A06 64GB + 4 RAM DOBLE SIM </t>
  </si>
  <si>
    <t xml:space="preserve">COMISIONES </t>
  </si>
  <si>
    <t>A06 128GB + 4 RAM DOBLE SIM</t>
  </si>
  <si>
    <t>A15 128GB + 4 RAM DOBLE SIM</t>
  </si>
  <si>
    <t xml:space="preserve">A15 128GB + 6 RAM </t>
  </si>
  <si>
    <t xml:space="preserve">A15 256GB + 8 RAM </t>
  </si>
  <si>
    <t>A25 5G 128GB + 6 RAM DOBLE SIM</t>
  </si>
  <si>
    <t>A25 5G 256GB + 8 RAM DOBLE SIM</t>
  </si>
  <si>
    <t>A35 5G 128GB + 6 RAM DOBLE SIM</t>
  </si>
  <si>
    <t>A35 5G 256GB + 8 RAM DOBLE SIM</t>
  </si>
  <si>
    <t>A55 5G 128GB + 8 RAM DOBLE SIM</t>
  </si>
  <si>
    <t xml:space="preserve">A55 5G 256GB + 8 RAM DOBLE SIM </t>
  </si>
  <si>
    <t xml:space="preserve">S21 FE 5G 128GB + 8 RAM </t>
  </si>
  <si>
    <t xml:space="preserve">S22 ULTRA 5G 256GB </t>
  </si>
  <si>
    <t xml:space="preserve">S23 5G 256 GB </t>
  </si>
  <si>
    <t xml:space="preserve">S23 ULTRA 512GB + 12RAM </t>
  </si>
  <si>
    <t xml:space="preserve">SAMSUNG Z FLIP 5 5G 512GB </t>
  </si>
  <si>
    <t xml:space="preserve">MOTOROLA </t>
  </si>
  <si>
    <t xml:space="preserve">E14 64GB + 2 RAM </t>
  </si>
  <si>
    <t xml:space="preserve">E13 128GB + 8 RAM </t>
  </si>
  <si>
    <t xml:space="preserve">E22 64GB </t>
  </si>
  <si>
    <t xml:space="preserve">G13 128GB </t>
  </si>
  <si>
    <t xml:space="preserve">G14 128GB </t>
  </si>
  <si>
    <t xml:space="preserve">G23 128GB </t>
  </si>
  <si>
    <t>G24 POWER 256GB + 8 RAM</t>
  </si>
  <si>
    <t xml:space="preserve">G54 5G 256GB + 8 RAM </t>
  </si>
  <si>
    <t>G62 5G 128GB + 6 RAM</t>
  </si>
  <si>
    <t xml:space="preserve">G73 5G 256GB </t>
  </si>
  <si>
    <t xml:space="preserve">G84 5G 256GB + 8 RAM </t>
  </si>
  <si>
    <t xml:space="preserve">G84 5G 256GB + 12RAM </t>
  </si>
  <si>
    <t>G85 5G 256GB + 8RAM (CARGADOR)</t>
  </si>
  <si>
    <t>EDGE 40 NEO 5G 256GB + 12RAM (CARGADOR)</t>
  </si>
  <si>
    <t>11 64GB</t>
  </si>
  <si>
    <t>NUEVO (CAJA)</t>
  </si>
  <si>
    <t>11 126GB</t>
  </si>
  <si>
    <t xml:space="preserve">13 128GB </t>
  </si>
  <si>
    <t>14 128GB</t>
  </si>
  <si>
    <t>15 128GB</t>
  </si>
  <si>
    <t xml:space="preserve">15 256GB </t>
  </si>
  <si>
    <t>15 PLUS 128GB</t>
  </si>
  <si>
    <t>15 PLUS 256GB</t>
  </si>
  <si>
    <t>15 PRO 128GB</t>
  </si>
  <si>
    <t>15 PRO 512GB</t>
  </si>
  <si>
    <t>15 PRO 1TB</t>
  </si>
  <si>
    <t>15 PRO MAX 256GB</t>
  </si>
  <si>
    <t>15 PRO MAX 512GB</t>
  </si>
  <si>
    <t>15 PRO MAX 1TB</t>
  </si>
  <si>
    <t xml:space="preserve">16 128GB </t>
  </si>
  <si>
    <t>16 256GB</t>
  </si>
  <si>
    <t>16 PLUS 128GB</t>
  </si>
  <si>
    <t>16 PLUS 256GB</t>
  </si>
  <si>
    <t>16 PRO 128GB</t>
  </si>
  <si>
    <t>16 PRO 256GB</t>
  </si>
  <si>
    <t>16 PRO 512GB</t>
  </si>
  <si>
    <t>16 PRO 1TB</t>
  </si>
  <si>
    <t>16 PRO MAX 256GB</t>
  </si>
  <si>
    <t>16 PRO MAX 512GB</t>
  </si>
  <si>
    <t>16 PRO MAX 1TB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</si>
</sst>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</font>
    <font>
      <b/>
      <sz val="14.0"/>
      <color rgb="FF000000"/>
      <name val="Arial"/>
      <scheme val="minor"/>
    </font>
    <font>
      <b/>
      <sz val="13.0"/>
      <color rgb="FF000000"/>
      <name val="Arial"/>
    </font>
    <font>
      <b/>
      <i/>
      <sz val="15.0"/>
      <color theme="1"/>
      <name val="Arial"/>
      <scheme val="minor"/>
    </font>
    <font>
      <sz val="16.0"/>
      <color theme="1"/>
      <name val="Arial"/>
      <scheme val="minor"/>
    </font>
    <font>
      <b/>
      <i/>
      <sz val="12.0"/>
      <color theme="1"/>
      <name val="Arial"/>
    </font>
    <font>
      <color theme="1"/>
      <name val="Arial"/>
    </font>
    <font>
      <b/>
      <i/>
      <sz val="13.0"/>
      <color rgb="FF000000"/>
      <name val="Arial"/>
      <scheme val="minor"/>
    </font>
    <font>
      <b/>
      <i/>
      <sz val="13.0"/>
      <color theme="1"/>
      <name val="Arial"/>
      <scheme val="minor"/>
    </font>
    <font>
      <b/>
      <i/>
      <sz val="12.0"/>
      <color rgb="FFFFFFFF"/>
      <name val="Arial"/>
    </font>
    <font>
      <color rgb="FFFFFFFF"/>
      <name val="Arial"/>
    </font>
    <font>
      <b/>
      <color theme="1"/>
      <name val="Arial"/>
    </font>
    <font>
      <b/>
      <i/>
      <sz val="11.0"/>
      <color theme="1"/>
      <name val="Arial"/>
    </font>
    <font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>
      <b/>
      <i/>
      <sz val="15.0"/>
      <color theme="1"/>
      <name val="Arial"/>
    </font>
    <font>
      <sz val="19.0"/>
      <color rgb="FFFFFFFF"/>
      <name val="Arial"/>
      <scheme val="minor"/>
    </font>
    <font>
      <sz val="16.0"/>
      <color rgb="FFFFFFFF"/>
      <name val="Arial"/>
      <scheme val="minor"/>
    </font>
    <font>
      <sz val="19.0"/>
      <color rgb="FFFFFFFF"/>
      <name val="Arial"/>
    </font>
    <font>
      <u/>
      <color rgb="FF0000FF"/>
    </font>
    <font>
      <u/>
      <color rgb="FF0000FF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sz val="10.0"/>
      <color theme="1"/>
      <name val="Arial"/>
      <scheme val="minor"/>
    </font>
    <font>
      <sz val="13.0"/>
      <color rgb="FFFFFFFF"/>
      <name val="Arial"/>
    </font>
    <font>
      <sz val="13.0"/>
      <color rgb="FFFFFFFF"/>
      <name val="Arial"/>
      <scheme val="minor"/>
    </font>
    <font>
      <sz val="13.0"/>
      <color theme="1"/>
      <name val="Arial"/>
    </font>
    <font>
      <sz val="12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8989EB"/>
        <bgColor rgb="FF8989EB"/>
      </patternFill>
    </fill>
    <fill>
      <patternFill patternType="solid">
        <fgColor rgb="FF5B95F9"/>
        <bgColor rgb="FF5B95F9"/>
      </patternFill>
    </fill>
    <fill>
      <patternFill patternType="solid">
        <fgColor rgb="FF8BC34A"/>
        <bgColor rgb="FF8BC34A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E8E7FC"/>
        <bgColor rgb="FFE8E7FC"/>
      </patternFill>
    </fill>
    <fill>
      <patternFill patternType="solid">
        <fgColor rgb="FFFFFF00"/>
        <bgColor rgb="FFFFFF00"/>
      </patternFill>
    </fill>
    <fill>
      <patternFill patternType="solid">
        <fgColor rgb="FFE8F0FE"/>
        <bgColor rgb="FFE8F0FE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B45F06"/>
        <bgColor rgb="FFB45F06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0" fillId="0" fontId="1" numFmtId="164" xfId="0" applyFont="1" applyNumberFormat="1"/>
    <xf borderId="1" fillId="0" fontId="2" numFmtId="164" xfId="0" applyAlignment="1" applyBorder="1" applyFont="1" applyNumberFormat="1">
      <alignment horizontal="center" readingOrder="0"/>
    </xf>
    <xf borderId="1" fillId="3" fontId="3" numFmtId="164" xfId="0" applyAlignment="1" applyBorder="1" applyFill="1" applyFont="1" applyNumberFormat="1">
      <alignment horizontal="center" readingOrder="0" vertical="bottom"/>
    </xf>
    <xf borderId="1" fillId="4" fontId="4" numFmtId="164" xfId="0" applyAlignment="1" applyBorder="1" applyFill="1" applyFont="1" applyNumberFormat="1">
      <alignment horizontal="center" readingOrder="0"/>
    </xf>
    <xf borderId="1" fillId="4" fontId="3" numFmtId="164" xfId="0" applyAlignment="1" applyBorder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readingOrder="0"/>
    </xf>
    <xf borderId="1" fillId="2" fontId="2" numFmtId="164" xfId="0" applyBorder="1" applyFont="1" applyNumberFormat="1"/>
    <xf borderId="1" fillId="2" fontId="2" numFmtId="165" xfId="0" applyAlignment="1" applyBorder="1" applyFont="1" applyNumberFormat="1">
      <alignment readingOrder="0"/>
    </xf>
    <xf borderId="1" fillId="2" fontId="5" numFmtId="165" xfId="0" applyAlignment="1" applyBorder="1" applyFont="1" applyNumberFormat="1">
      <alignment horizontal="right" readingOrder="0"/>
    </xf>
    <xf borderId="0" fillId="2" fontId="1" numFmtId="165" xfId="0" applyFont="1" applyNumberFormat="1"/>
    <xf borderId="0" fillId="2" fontId="2" numFmtId="164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1" fillId="2" fontId="2" numFmtId="165" xfId="0" applyBorder="1" applyFont="1" applyNumberFormat="1"/>
    <xf borderId="0" fillId="2" fontId="1" numFmtId="0" xfId="0" applyAlignment="1" applyFont="1">
      <alignment readingOrder="0"/>
    </xf>
    <xf borderId="0" fillId="2" fontId="1" numFmtId="165" xfId="0" applyAlignment="1" applyFont="1" applyNumberFormat="1">
      <alignment readingOrder="0"/>
    </xf>
    <xf borderId="0" fillId="2" fontId="2" numFmtId="165" xfId="0" applyFont="1" applyNumberFormat="1"/>
    <xf borderId="0" fillId="2" fontId="2" numFmtId="0" xfId="0" applyFont="1"/>
    <xf borderId="0" fillId="2" fontId="2" numFmtId="164" xfId="0" applyFont="1" applyNumberFormat="1"/>
    <xf borderId="1" fillId="5" fontId="6" numFmtId="164" xfId="0" applyAlignment="1" applyBorder="1" applyFill="1" applyFont="1" applyNumberFormat="1">
      <alignment readingOrder="0"/>
    </xf>
    <xf borderId="1" fillId="2" fontId="6" numFmtId="164" xfId="0" applyAlignment="1" applyBorder="1" applyFont="1" applyNumberFormat="1">
      <alignment readingOrder="0"/>
    </xf>
    <xf borderId="0" fillId="2" fontId="7" numFmtId="0" xfId="0" applyFont="1"/>
    <xf borderId="0" fillId="2" fontId="1" numFmtId="164" xfId="0" applyFont="1" applyNumberFormat="1"/>
    <xf borderId="1" fillId="2" fontId="6" numFmtId="164" xfId="0" applyBorder="1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2" fontId="8" numFmtId="0" xfId="0" applyAlignment="1" applyFont="1">
      <alignment readingOrder="0"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2" fontId="9" numFmtId="164" xfId="0" applyAlignment="1" applyFont="1" applyNumberFormat="1">
      <alignment vertical="bottom"/>
    </xf>
    <xf borderId="0" fillId="2" fontId="8" numFmtId="0" xfId="0" applyAlignment="1" applyFont="1">
      <alignment horizontal="center"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horizontal="left" readingOrder="0"/>
    </xf>
    <xf borderId="0" fillId="2" fontId="10" numFmtId="0" xfId="0" applyAlignment="1" applyFont="1">
      <alignment horizontal="left" readingOrder="0"/>
    </xf>
    <xf borderId="0" fillId="2" fontId="11" numFmtId="164" xfId="0" applyAlignment="1" applyFont="1" applyNumberFormat="1">
      <alignment readingOrder="0"/>
    </xf>
    <xf borderId="0" fillId="2" fontId="1" numFmtId="0" xfId="0" applyFont="1"/>
    <xf borderId="0" fillId="2" fontId="11" numFmtId="0" xfId="0" applyFont="1"/>
    <xf borderId="1" fillId="6" fontId="12" numFmtId="0" xfId="0" applyAlignment="1" applyBorder="1" applyFill="1" applyFont="1">
      <alignment vertical="bottom"/>
    </xf>
    <xf borderId="1" fillId="6" fontId="12" numFmtId="0" xfId="0" applyAlignment="1" applyBorder="1" applyFont="1">
      <alignment vertical="bottom"/>
    </xf>
    <xf borderId="1" fillId="6" fontId="13" numFmtId="164" xfId="0" applyAlignment="1" applyBorder="1" applyFont="1" applyNumberFormat="1">
      <alignment vertical="bottom"/>
    </xf>
    <xf borderId="1" fillId="7" fontId="12" numFmtId="0" xfId="0" applyAlignment="1" applyBorder="1" applyFill="1" applyFont="1">
      <alignment horizontal="center" vertical="bottom"/>
    </xf>
    <xf borderId="1" fillId="8" fontId="12" numFmtId="0" xfId="0" applyAlignment="1" applyBorder="1" applyFill="1" applyFont="1">
      <alignment horizontal="center" vertical="bottom"/>
    </xf>
    <xf borderId="1" fillId="6" fontId="13" numFmtId="0" xfId="0" applyAlignment="1" applyBorder="1" applyFont="1">
      <alignment vertical="bottom"/>
    </xf>
    <xf borderId="1" fillId="2" fontId="10" numFmtId="0" xfId="0" applyAlignment="1" applyBorder="1" applyFont="1">
      <alignment horizontal="left" readingOrder="0"/>
    </xf>
    <xf borderId="1" fillId="2" fontId="10" numFmtId="0" xfId="0" applyAlignment="1" applyBorder="1" applyFont="1">
      <alignment horizontal="left" readingOrder="0"/>
    </xf>
    <xf borderId="1" fillId="0" fontId="1" numFmtId="0" xfId="0" applyBorder="1" applyFont="1"/>
    <xf borderId="1" fillId="9" fontId="9" numFmtId="164" xfId="0" applyAlignment="1" applyBorder="1" applyFill="1" applyFont="1" applyNumberFormat="1">
      <alignment horizontal="right" readingOrder="0" vertical="bottom"/>
    </xf>
    <xf borderId="1" fillId="9" fontId="9" numFmtId="164" xfId="0" applyAlignment="1" applyBorder="1" applyFont="1" applyNumberFormat="1">
      <alignment horizontal="right" vertical="bottom"/>
    </xf>
    <xf borderId="1" fillId="5" fontId="9" numFmtId="164" xfId="0" applyAlignment="1" applyBorder="1" applyFont="1" applyNumberFormat="1">
      <alignment horizontal="right" readingOrder="0" vertical="bottom"/>
    </xf>
    <xf borderId="1" fillId="3" fontId="14" numFmtId="164" xfId="0" applyAlignment="1" applyBorder="1" applyFont="1" applyNumberFormat="1">
      <alignment horizontal="center" readingOrder="0"/>
    </xf>
    <xf borderId="1" fillId="10" fontId="14" numFmtId="164" xfId="0" applyAlignment="1" applyBorder="1" applyFill="1" applyFont="1" applyNumberFormat="1">
      <alignment horizontal="center" readingOrder="0"/>
    </xf>
    <xf borderId="1" fillId="2" fontId="1" numFmtId="0" xfId="0" applyAlignment="1" applyBorder="1" applyFont="1">
      <alignment readingOrder="0"/>
    </xf>
    <xf borderId="1" fillId="2" fontId="1" numFmtId="164" xfId="0" applyBorder="1" applyFont="1" applyNumberFormat="1"/>
    <xf borderId="1" fillId="2" fontId="1" numFmtId="0" xfId="0" applyAlignment="1" applyBorder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Border="1" applyFont="1"/>
    <xf borderId="1" fillId="9" fontId="9" numFmtId="164" xfId="0" applyAlignment="1" applyBorder="1" applyFont="1" applyNumberFormat="1">
      <alignment horizontal="right" vertical="bottom"/>
    </xf>
    <xf borderId="1" fillId="5" fontId="9" numFmtId="164" xfId="0" applyAlignment="1" applyBorder="1" applyFont="1" applyNumberFormat="1">
      <alignment horizontal="right" readingOrder="0" vertical="bottom"/>
    </xf>
    <xf borderId="1" fillId="2" fontId="15" numFmtId="0" xfId="0" applyAlignment="1" applyBorder="1" applyFont="1">
      <alignment vertical="bottom"/>
    </xf>
    <xf borderId="1" fillId="2" fontId="9" numFmtId="164" xfId="0" applyAlignment="1" applyBorder="1" applyFont="1" applyNumberFormat="1">
      <alignment horizontal="right" vertical="bottom"/>
    </xf>
    <xf borderId="1" fillId="5" fontId="9" numFmtId="164" xfId="0" applyAlignment="1" applyBorder="1" applyFont="1" applyNumberFormat="1">
      <alignment horizontal="right" vertical="bottom"/>
    </xf>
    <xf borderId="1" fillId="11" fontId="9" numFmtId="164" xfId="0" applyAlignment="1" applyBorder="1" applyFill="1" applyFont="1" applyNumberFormat="1">
      <alignment horizontal="right" vertical="bottom"/>
    </xf>
    <xf borderId="1" fillId="11" fontId="9" numFmtId="164" xfId="0" applyAlignment="1" applyBorder="1" applyFont="1" applyNumberFormat="1">
      <alignment horizontal="right" readingOrder="0" vertical="bottom"/>
    </xf>
    <xf borderId="1" fillId="2" fontId="9" numFmtId="164" xfId="0" applyAlignment="1" applyBorder="1" applyFont="1" applyNumberFormat="1">
      <alignment horizontal="right" readingOrder="0" vertical="bottom"/>
    </xf>
    <xf borderId="1" fillId="0" fontId="1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1" fillId="2" fontId="16" numFmtId="0" xfId="0" applyAlignment="1" applyBorder="1" applyFont="1">
      <alignment readingOrder="0"/>
    </xf>
    <xf borderId="1" fillId="2" fontId="13" numFmtId="164" xfId="0" applyAlignment="1" applyBorder="1" applyFont="1" applyNumberFormat="1">
      <alignment horizontal="right" vertical="bottom"/>
    </xf>
    <xf borderId="0" fillId="2" fontId="16" numFmtId="0" xfId="0" applyFont="1"/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1" fillId="0" fontId="1" numFmtId="0" xfId="0" applyBorder="1" applyFont="1"/>
    <xf borderId="0" fillId="2" fontId="16" numFmtId="0" xfId="0" applyAlignment="1" applyFont="1">
      <alignment readingOrder="0"/>
    </xf>
    <xf borderId="1" fillId="2" fontId="16" numFmtId="164" xfId="0" applyAlignment="1" applyBorder="1" applyFont="1" applyNumberFormat="1">
      <alignment readingOrder="0"/>
    </xf>
    <xf borderId="0" fillId="2" fontId="16" numFmtId="164" xfId="0" applyAlignment="1" applyFont="1" applyNumberFormat="1">
      <alignment readingOrder="0"/>
    </xf>
    <xf borderId="1" fillId="2" fontId="17" numFmtId="164" xfId="0" applyAlignment="1" applyBorder="1" applyFont="1" applyNumberFormat="1">
      <alignment readingOrder="0"/>
    </xf>
    <xf borderId="1" fillId="2" fontId="18" numFmtId="164" xfId="0" applyAlignment="1" applyBorder="1" applyFont="1" applyNumberFormat="1">
      <alignment readingOrder="0"/>
    </xf>
    <xf borderId="0" fillId="2" fontId="18" numFmtId="0" xfId="0" applyAlignment="1" applyFont="1">
      <alignment readingOrder="0"/>
    </xf>
    <xf borderId="1" fillId="3" fontId="19" numFmtId="0" xfId="0" applyAlignment="1" applyBorder="1" applyFont="1">
      <alignment vertical="bottom"/>
    </xf>
    <xf borderId="1" fillId="3" fontId="19" numFmtId="164" xfId="0" applyAlignment="1" applyBorder="1" applyFont="1" applyNumberFormat="1">
      <alignment horizontal="right" readingOrder="0" vertical="bottom"/>
    </xf>
    <xf borderId="1" fillId="3" fontId="19" numFmtId="164" xfId="0" applyAlignment="1" applyBorder="1" applyFont="1" applyNumberFormat="1">
      <alignment readingOrder="0" vertical="bottom"/>
    </xf>
    <xf borderId="1" fillId="3" fontId="19" numFmtId="164" xfId="0" applyAlignment="1" applyBorder="1" applyFont="1" applyNumberFormat="1">
      <alignment vertical="bottom"/>
    </xf>
    <xf borderId="1" fillId="3" fontId="15" numFmtId="0" xfId="0" applyAlignment="1" applyBorder="1" applyFont="1">
      <alignment vertical="bottom"/>
    </xf>
    <xf borderId="1" fillId="10" fontId="14" numFmtId="164" xfId="0" applyAlignment="1" applyBorder="1" applyFont="1" applyNumberFormat="1">
      <alignment horizontal="center"/>
    </xf>
    <xf borderId="1" fillId="10" fontId="9" numFmtId="164" xfId="0" applyAlignment="1" applyBorder="1" applyFont="1" applyNumberFormat="1">
      <alignment readingOrder="0" vertical="bottom"/>
    </xf>
    <xf borderId="1" fillId="10" fontId="9" numFmtId="164" xfId="0" applyAlignment="1" applyBorder="1" applyFont="1" applyNumberFormat="1">
      <alignment vertical="bottom"/>
    </xf>
    <xf borderId="1" fillId="12" fontId="1" numFmtId="0" xfId="0" applyBorder="1" applyFill="1" applyFont="1"/>
    <xf borderId="1" fillId="12" fontId="20" numFmtId="164" xfId="0" applyAlignment="1" applyBorder="1" applyFont="1" applyNumberFormat="1">
      <alignment horizontal="right" readingOrder="0" vertical="bottom"/>
    </xf>
    <xf borderId="1" fillId="12" fontId="9" numFmtId="164" xfId="0" applyAlignment="1" applyBorder="1" applyFont="1" applyNumberFormat="1">
      <alignment horizontal="right" vertical="bottom"/>
    </xf>
    <xf borderId="1" fillId="12" fontId="9" numFmtId="164" xfId="0" applyAlignment="1" applyBorder="1" applyFont="1" applyNumberFormat="1">
      <alignment horizontal="right" readingOrder="0" vertical="bottom"/>
    </xf>
    <xf borderId="1" fillId="12" fontId="14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readingOrder="0" vertical="bottom"/>
    </xf>
    <xf borderId="1" fillId="4" fontId="9" numFmtId="164" xfId="0" applyAlignment="1" applyBorder="1" applyFont="1" applyNumberFormat="1">
      <alignment vertical="bottom"/>
    </xf>
    <xf borderId="1" fillId="4" fontId="9" numFmtId="164" xfId="0" applyAlignment="1" applyBorder="1" applyFont="1" applyNumberFormat="1">
      <alignment readingOrder="0" vertical="bottom"/>
    </xf>
    <xf borderId="1" fillId="2" fontId="13" numFmtId="0" xfId="0" applyAlignment="1" applyBorder="1" applyFont="1">
      <alignment readingOrder="0" vertical="bottom"/>
    </xf>
    <xf borderId="1" fillId="2" fontId="9" numFmtId="164" xfId="0" applyAlignment="1" applyBorder="1" applyFont="1" applyNumberFormat="1">
      <alignment vertical="bottom"/>
    </xf>
    <xf borderId="1" fillId="11" fontId="9" numFmtId="0" xfId="0" applyAlignment="1" applyBorder="1" applyFont="1">
      <alignment vertical="bottom"/>
    </xf>
    <xf borderId="1" fillId="5" fontId="9" numFmtId="0" xfId="0" applyAlignment="1" applyBorder="1" applyFont="1">
      <alignment vertical="bottom"/>
    </xf>
    <xf borderId="1" fillId="2" fontId="14" numFmtId="164" xfId="0" applyAlignment="1" applyBorder="1" applyFont="1" applyNumberFormat="1">
      <alignment horizontal="center"/>
    </xf>
    <xf borderId="1" fillId="2" fontId="14" numFmtId="164" xfId="0" applyAlignment="1" applyBorder="1" applyFont="1" applyNumberFormat="1">
      <alignment horizontal="center" readingOrder="0"/>
    </xf>
    <xf borderId="1" fillId="13" fontId="9" numFmtId="0" xfId="0" applyAlignment="1" applyBorder="1" applyFill="1" applyFont="1">
      <alignment vertical="bottom"/>
    </xf>
    <xf borderId="1" fillId="13" fontId="9" numFmtId="164" xfId="0" applyAlignment="1" applyBorder="1" applyFont="1" applyNumberFormat="1">
      <alignment horizontal="right" vertical="bottom"/>
    </xf>
    <xf borderId="1" fillId="5" fontId="9" numFmtId="0" xfId="0" applyAlignment="1" applyBorder="1" applyFont="1">
      <alignment readingOrder="0" vertical="bottom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14" fontId="1" numFmtId="0" xfId="0" applyAlignment="1" applyFill="1" applyFont="1">
      <alignment horizontal="center"/>
    </xf>
    <xf borderId="0" fillId="3" fontId="1" numFmtId="0" xfId="0" applyFont="1"/>
    <xf borderId="0" fillId="14" fontId="1" numFmtId="0" xfId="0" applyFont="1"/>
    <xf borderId="0" fillId="7" fontId="1" numFmtId="0" xfId="0" applyFont="1"/>
    <xf borderId="0" fillId="8" fontId="1" numFmtId="0" xfId="0" applyFont="1"/>
    <xf borderId="0" fillId="0" fontId="1" numFmtId="0" xfId="0" applyAlignment="1" applyFont="1">
      <alignment horizontal="center"/>
    </xf>
    <xf borderId="0" fillId="2" fontId="12" numFmtId="0" xfId="0" applyAlignment="1" applyFont="1">
      <alignment horizontal="left" readingOrder="0" vertical="bottom"/>
    </xf>
    <xf borderId="0" fillId="2" fontId="12" numFmtId="0" xfId="0" applyAlignment="1" applyFont="1">
      <alignment horizontal="left" vertical="bottom"/>
    </xf>
    <xf borderId="0" fillId="2" fontId="13" numFmtId="164" xfId="0" applyAlignment="1" applyFont="1" applyNumberFormat="1">
      <alignment horizontal="left" readingOrder="0" vertical="bottom"/>
    </xf>
    <xf borderId="0" fillId="2" fontId="12" numFmtId="0" xfId="0" applyAlignment="1" applyFont="1">
      <alignment horizontal="center" vertical="bottom"/>
    </xf>
    <xf borderId="0" fillId="2" fontId="13" numFmtId="0" xfId="0" applyAlignment="1" applyFont="1">
      <alignment horizontal="left" readingOrder="0" vertical="bottom"/>
    </xf>
    <xf borderId="0" fillId="2" fontId="12" numFmtId="0" xfId="0" applyAlignment="1" applyFont="1">
      <alignment vertical="bottom"/>
    </xf>
    <xf borderId="0" fillId="2" fontId="12" numFmtId="0" xfId="0" applyAlignment="1" applyFont="1">
      <alignment readingOrder="0" vertical="bottom"/>
    </xf>
    <xf borderId="0" fillId="2" fontId="13" numFmtId="164" xfId="0" applyAlignment="1" applyFont="1" applyNumberFormat="1">
      <alignment readingOrder="0" vertical="bottom"/>
    </xf>
    <xf borderId="0" fillId="2" fontId="13" numFmtId="0" xfId="0" applyAlignment="1" applyFont="1">
      <alignment readingOrder="0" vertical="bottom"/>
    </xf>
    <xf borderId="0" fillId="5" fontId="1" numFmtId="0" xfId="0" applyFont="1"/>
    <xf borderId="0" fillId="15" fontId="1" numFmtId="0" xfId="0" applyFill="1" applyFont="1"/>
    <xf borderId="0" fillId="2" fontId="21" numFmtId="0" xfId="0" applyAlignment="1" applyFont="1">
      <alignment readingOrder="0"/>
    </xf>
    <xf borderId="0" fillId="2" fontId="22" numFmtId="0" xfId="0" applyAlignment="1" applyFont="1">
      <alignment readingOrder="0"/>
    </xf>
    <xf borderId="0" fillId="2" fontId="21" numFmtId="0" xfId="0" applyFont="1"/>
    <xf borderId="0" fillId="2" fontId="22" numFmtId="0" xfId="0" applyFont="1"/>
    <xf borderId="1" fillId="2" fontId="23" numFmtId="0" xfId="0" applyAlignment="1" applyBorder="1" applyFont="1">
      <alignment readingOrder="0" vertical="bottom"/>
    </xf>
    <xf borderId="1" fillId="2" fontId="23" numFmtId="0" xfId="0" applyAlignment="1" applyBorder="1" applyFont="1">
      <alignment vertical="bottom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1" fillId="0" fontId="26" numFmtId="0" xfId="0" applyAlignment="1" applyBorder="1" applyFont="1">
      <alignment horizontal="center" readingOrder="0"/>
    </xf>
    <xf borderId="0" fillId="16" fontId="1" numFmtId="0" xfId="0" applyFill="1" applyFont="1"/>
    <xf borderId="0" fillId="16" fontId="1" numFmtId="0" xfId="0" applyAlignment="1" applyFont="1">
      <alignment readingOrder="0"/>
    </xf>
    <xf borderId="0" fillId="0" fontId="27" numFmtId="0" xfId="0" applyAlignment="1" applyFont="1">
      <alignment readingOrder="0"/>
    </xf>
    <xf borderId="0" fillId="17" fontId="27" numFmtId="0" xfId="0" applyAlignment="1" applyFill="1" applyFont="1">
      <alignment readingOrder="0"/>
    </xf>
    <xf borderId="1" fillId="18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1" fillId="5" fontId="1" numFmtId="0" xfId="0" applyAlignment="1" applyBorder="1" applyFont="1">
      <alignment readingOrder="0"/>
    </xf>
    <xf borderId="1" fillId="5" fontId="1" numFmtId="9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0" fillId="16" fontId="1" numFmtId="0" xfId="0" applyAlignment="1" applyFont="1">
      <alignment readingOrder="0"/>
    </xf>
    <xf borderId="0" fillId="16" fontId="1" numFmtId="0" xfId="0" applyAlignment="1" applyFont="1">
      <alignment readingOrder="0"/>
    </xf>
    <xf borderId="1" fillId="3" fontId="1" numFmtId="164" xfId="0" applyAlignment="1" applyBorder="1" applyFont="1" applyNumberFormat="1">
      <alignment readingOrder="0"/>
    </xf>
    <xf borderId="1" fillId="5" fontId="1" numFmtId="0" xfId="0" applyBorder="1" applyFont="1"/>
    <xf borderId="1" fillId="5" fontId="1" numFmtId="164" xfId="0" applyBorder="1" applyFont="1" applyNumberFormat="1"/>
    <xf borderId="0" fillId="16" fontId="1" numFmtId="0" xfId="0" applyFont="1"/>
    <xf borderId="0" fillId="14" fontId="1" numFmtId="164" xfId="0" applyAlignment="1" applyFont="1" applyNumberFormat="1">
      <alignment readingOrder="0"/>
    </xf>
    <xf borderId="0" fillId="2" fontId="1" numFmtId="0" xfId="0" applyFont="1"/>
    <xf borderId="0" fillId="2" fontId="28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19" fontId="29" numFmtId="0" xfId="0" applyAlignment="1" applyFill="1" applyFont="1">
      <alignment horizontal="center" vertical="bottom"/>
    </xf>
    <xf borderId="0" fillId="19" fontId="29" numFmtId="0" xfId="0" applyAlignment="1" applyFont="1">
      <alignment vertical="bottom"/>
    </xf>
    <xf borderId="0" fillId="19" fontId="29" numFmtId="164" xfId="0" applyAlignment="1" applyFont="1" applyNumberFormat="1">
      <alignment vertical="bottom"/>
    </xf>
    <xf borderId="0" fillId="19" fontId="27" numFmtId="0" xfId="0" applyFont="1"/>
    <xf borderId="0" fillId="19" fontId="27" numFmtId="164" xfId="0" applyFont="1" applyNumberFormat="1"/>
    <xf borderId="0" fillId="19" fontId="1" numFmtId="0" xfId="0" applyFont="1"/>
    <xf borderId="0" fillId="19" fontId="30" numFmtId="0" xfId="0" applyAlignment="1" applyFont="1">
      <alignment readingOrder="0"/>
    </xf>
    <xf borderId="0" fillId="19" fontId="30" numFmtId="164" xfId="0" applyAlignment="1" applyFont="1" applyNumberFormat="1">
      <alignment readingOrder="0"/>
    </xf>
    <xf borderId="0" fillId="19" fontId="29" numFmtId="0" xfId="0" applyAlignment="1" applyFont="1">
      <alignment readingOrder="0" vertical="bottom"/>
    </xf>
    <xf borderId="0" fillId="0" fontId="31" numFmtId="0" xfId="0" applyAlignment="1" applyFont="1">
      <alignment vertical="bottom"/>
    </xf>
    <xf borderId="0" fillId="0" fontId="27" numFmtId="0" xfId="0" applyAlignment="1" applyFont="1">
      <alignment readingOrder="0"/>
    </xf>
    <xf borderId="0" fillId="0" fontId="27" numFmtId="164" xfId="0" applyFont="1" applyNumberFormat="1"/>
    <xf borderId="0" fillId="0" fontId="27" numFmtId="0" xfId="0" applyFont="1"/>
    <xf borderId="0" fillId="0" fontId="31" numFmtId="164" xfId="0" applyAlignment="1" applyFont="1" applyNumberFormat="1">
      <alignment vertical="bottom"/>
    </xf>
    <xf borderId="0" fillId="0" fontId="31" numFmtId="0" xfId="0" applyAlignment="1" applyFont="1">
      <alignment horizontal="right" vertical="bottom"/>
    </xf>
    <xf borderId="0" fillId="19" fontId="31" numFmtId="0" xfId="0" applyAlignment="1" applyFont="1">
      <alignment vertical="bottom"/>
    </xf>
    <xf borderId="0" fillId="19" fontId="31" numFmtId="164" xfId="0" applyAlignment="1" applyFont="1" applyNumberFormat="1">
      <alignment vertical="bottom"/>
    </xf>
    <xf borderId="0" fillId="20" fontId="31" numFmtId="0" xfId="0" applyAlignment="1" applyFill="1" applyFont="1">
      <alignment vertical="bottom"/>
    </xf>
    <xf borderId="0" fillId="20" fontId="29" numFmtId="0" xfId="0" applyAlignment="1" applyFont="1">
      <alignment horizontal="center" vertical="bottom"/>
    </xf>
    <xf borderId="0" fillId="20" fontId="29" numFmtId="0" xfId="0" applyAlignment="1" applyFont="1">
      <alignment vertical="bottom"/>
    </xf>
    <xf borderId="0" fillId="20" fontId="29" numFmtId="164" xfId="0" applyAlignment="1" applyFont="1" applyNumberFormat="1">
      <alignment vertical="bottom"/>
    </xf>
    <xf borderId="0" fillId="20" fontId="27" numFmtId="0" xfId="0" applyFont="1"/>
    <xf borderId="0" fillId="20" fontId="27" numFmtId="164" xfId="0" applyFont="1" applyNumberFormat="1"/>
    <xf borderId="0" fillId="20" fontId="1" numFmtId="0" xfId="0" applyFont="1"/>
    <xf borderId="0" fillId="20" fontId="27" numFmtId="0" xfId="0" applyAlignment="1" applyFont="1">
      <alignment readingOrder="0"/>
    </xf>
    <xf borderId="0" fillId="20" fontId="30" numFmtId="0" xfId="0" applyAlignment="1" applyFont="1">
      <alignment horizontal="center" readingOrder="0"/>
    </xf>
    <xf borderId="0" fillId="20" fontId="30" numFmtId="0" xfId="0" applyAlignment="1" applyFont="1">
      <alignment readingOrder="0"/>
    </xf>
    <xf borderId="0" fillId="20" fontId="30" numFmtId="164" xfId="0" applyAlignment="1" applyFont="1" applyNumberFormat="1">
      <alignment readingOrder="0"/>
    </xf>
    <xf borderId="0" fillId="20" fontId="29" numFmtId="0" xfId="0" applyAlignment="1" applyFont="1">
      <alignment readingOrder="0" vertical="bottom"/>
    </xf>
    <xf borderId="0" fillId="9" fontId="27" numFmtId="0" xfId="0" applyAlignment="1" applyFont="1">
      <alignment readingOrder="0"/>
    </xf>
    <xf borderId="0" fillId="9" fontId="27" numFmtId="164" xfId="0" applyAlignment="1" applyFont="1" applyNumberFormat="1">
      <alignment readingOrder="0"/>
    </xf>
    <xf borderId="0" fillId="9" fontId="27" numFmtId="0" xfId="0" applyFont="1"/>
    <xf borderId="0" fillId="9" fontId="1" numFmtId="0" xfId="0" applyFont="1"/>
    <xf borderId="0" fillId="9" fontId="27" numFmtId="164" xfId="0" applyFont="1" applyNumberFormat="1"/>
    <xf borderId="0" fillId="0" fontId="27" numFmtId="164" xfId="0" applyAlignment="1" applyFont="1" applyNumberFormat="1">
      <alignment readingOrder="0"/>
    </xf>
    <xf borderId="1" fillId="14" fontId="1" numFmtId="0" xfId="0" applyBorder="1" applyFont="1"/>
    <xf borderId="1" fillId="14" fontId="1" numFmtId="0" xfId="0" applyAlignment="1" applyBorder="1" applyFont="1">
      <alignment readingOrder="0"/>
    </xf>
    <xf borderId="1" fillId="0" fontId="1" numFmtId="9" xfId="0" applyAlignment="1" applyBorder="1" applyFont="1" applyNumberFormat="1">
      <alignment readingOrder="0"/>
    </xf>
    <xf borderId="1" fillId="10" fontId="26" numFmtId="0" xfId="0" applyAlignment="1" applyBorder="1" applyFont="1">
      <alignment readingOrder="0"/>
    </xf>
    <xf borderId="0" fillId="5" fontId="27" numFmtId="0" xfId="0" applyAlignment="1" applyFont="1">
      <alignment readingOrder="0"/>
    </xf>
    <xf borderId="0" fillId="5" fontId="27" numFmtId="164" xfId="0" applyAlignment="1" applyFont="1" applyNumberFormat="1">
      <alignment readingOrder="0"/>
    </xf>
    <xf borderId="0" fillId="5" fontId="27" numFmtId="0" xfId="0" applyFont="1"/>
    <xf borderId="0" fillId="5" fontId="27" numFmtId="164" xfId="0" applyFont="1" applyNumberFormat="1"/>
    <xf borderId="0" fillId="0" fontId="32" numFmtId="0" xfId="0" applyAlignment="1" applyFont="1">
      <alignment vertical="bottom"/>
    </xf>
    <xf borderId="0" fillId="2" fontId="32" numFmtId="0" xfId="0" applyAlignment="1" applyFont="1">
      <alignment vertical="bottom"/>
    </xf>
  </cellXfs>
  <cellStyles count="1">
    <cellStyle xfId="0" name="Normal" builtinId="0"/>
  </cellStyles>
  <dxfs count="1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9">
    <tableStyle count="3" pivot="0" name="CAJA SEMANAL-style">
      <tableStyleElement dxfId="5" type="headerRow"/>
      <tableStyleElement dxfId="6" type="firstRowStripe"/>
      <tableStyleElement dxfId="7" type="secondRowStripe"/>
    </tableStyle>
    <tableStyle count="3" pivot="0" name="CAJA SEMANAL-style 2">
      <tableStyleElement dxfId="5" type="headerRow"/>
      <tableStyleElement dxfId="6" type="firstRowStripe"/>
      <tableStyleElement dxfId="7" type="secondRowStripe"/>
    </tableStyle>
    <tableStyle count="3" pivot="0" name="CAJA SEMANAL-style 3">
      <tableStyleElement dxfId="5" type="headerRow"/>
      <tableStyleElement dxfId="6" type="firstRowStripe"/>
      <tableStyleElement dxfId="7" type="secondRowStripe"/>
    </tableStyle>
    <tableStyle count="3" pivot="0" name="LUNE, MARTE, MIERCOLE-style">
      <tableStyleElement dxfId="8" type="headerRow"/>
      <tableStyleElement dxfId="6" type="firstRowStripe"/>
      <tableStyleElement dxfId="9" type="secondRowStripe"/>
    </tableStyle>
    <tableStyle count="3" pivot="0" name="LUNE, MARTE, MIERCOLE-style 2">
      <tableStyleElement dxfId="8" type="headerRow"/>
      <tableStyleElement dxfId="6" type="firstRowStripe"/>
      <tableStyleElement dxfId="9" type="secondRowStripe"/>
    </tableStyle>
    <tableStyle count="3" pivot="0" name="LUNE, MARTE, MIERCOLE-style 3">
      <tableStyleElement dxfId="10" type="headerRow"/>
      <tableStyleElement dxfId="6" type="firstRowStripe"/>
      <tableStyleElement dxfId="11" type="secondRowStripe"/>
    </tableStyle>
    <tableStyle count="2" pivot="0" name="LUNE, MARTE, MIERCOLE-style 4">
      <tableStyleElement dxfId="6" type="firstRowStripe"/>
      <tableStyleElement dxfId="11" type="secondRowStripe"/>
    </tableStyle>
    <tableStyle count="2" pivot="0" name="LUNE, MARTE, MIERCOLE-style 5">
      <tableStyleElement dxfId="6" type="firstRowStripe"/>
      <tableStyleElement dxfId="11" type="secondRowStripe"/>
    </tableStyle>
    <tableStyle count="2" pivot="0" name="LUNE, MARTE, MIERCOLE-style 6">
      <tableStyleElement dxfId="6" type="firstRowStripe"/>
      <tableStyleElement dxfId="9" type="secondRowStripe"/>
    </tableStyle>
    <tableStyle count="2" pivot="0" name="LUNE, MARTE, MIERCOLE-style 7">
      <tableStyleElement dxfId="6" type="firstRowStripe"/>
      <tableStyleElement dxfId="9" type="secondRowStripe"/>
    </tableStyle>
    <tableStyle count="3" pivot="0" name="LUNE, MARTE, MIERCOLE-style 8">
      <tableStyleElement dxfId="8" type="headerRow"/>
      <tableStyleElement dxfId="6" type="firstRowStripe"/>
      <tableStyleElement dxfId="9" type="secondRowStripe"/>
    </tableStyle>
    <tableStyle count="3" pivot="0" name="JUEVE, VIERNE, SABADUKI-style">
      <tableStyleElement dxfId="8" type="headerRow"/>
      <tableStyleElement dxfId="6" type="firstRowStripe"/>
      <tableStyleElement dxfId="9" type="secondRowStripe"/>
    </tableStyle>
    <tableStyle count="3" pivot="0" name="JUEVE, VIERNE, SABADUKI-style 2">
      <tableStyleElement dxfId="10" type="headerRow"/>
      <tableStyleElement dxfId="6" type="firstRowStripe"/>
      <tableStyleElement dxfId="11" type="secondRowStripe"/>
    </tableStyle>
    <tableStyle count="3" pivot="0" name="JUEVE, VIERNE, SABADUKI-style 3">
      <tableStyleElement dxfId="10" type="headerRow"/>
      <tableStyleElement dxfId="6" type="firstRowStripe"/>
      <tableStyleElement dxfId="11" type="secondRowStripe"/>
    </tableStyle>
    <tableStyle count="2" pivot="0" name="JUEVE, VIERNE, SABADUKI-style 4">
      <tableStyleElement dxfId="6" type="firstRowStripe"/>
      <tableStyleElement dxfId="11" type="secondRowStripe"/>
    </tableStyle>
    <tableStyle count="2" pivot="0" name="JUEVE, VIERNE, SABADUKI-style 5">
      <tableStyleElement dxfId="6" type="firstRowStripe"/>
      <tableStyleElement dxfId="11" type="secondRowStripe"/>
    </tableStyle>
    <tableStyle count="2" pivot="0" name="Hoja 25-style">
      <tableStyleElement dxfId="6" type="firstRowStripe"/>
      <tableStyleElement dxfId="11" type="secondRowStripe"/>
    </tableStyle>
    <tableStyle count="3" pivot="0" name="CALCULADORA -style">
      <tableStyleElement dxfId="12" type="headerRow"/>
      <tableStyleElement dxfId="6" type="firstRowStripe"/>
      <tableStyleElement dxfId="13" type="secondRowStripe"/>
    </tableStyle>
    <tableStyle count="3" pivot="0" name="CALCULADORA -style 2">
      <tableStyleElement dxfId="14" type="headerRow"/>
      <tableStyleElement dxfId="6" type="firstRowStripe"/>
      <tableStyleElement dxfId="1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8:D15" displayName="Table_1" name="Table_1" id="1">
  <tableColumns count="2">
    <tableColumn name="SUMA TOTAL DE LA SEMANA" id="1"/>
    <tableColumn name="DO MAGIC " id="2"/>
  </tableColumns>
  <tableStyleInfo name="CAJA SEMANAL-style" showColumnStripes="0" showFirstColumn="1" showLastColumn="1" showRowStripes="1"/>
</table>
</file>

<file path=xl/tables/table2.xml><?xml version="1.0" encoding="utf-8"?>
<table xmlns="http://schemas.openxmlformats.org/spreadsheetml/2006/main" ref="F8:G15" displayName="Table_2" name="Table_2" id="2">
  <tableColumns count="2">
    <tableColumn name="SUMA TOTAL DE LA SEMANA" id="1"/>
    <tableColumn name="DO MAGIC " id="2"/>
  </tableColumns>
  <tableStyleInfo name="CAJA SEMANAL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6:E20" displayName="Table_3" name="Table_3" id="3">
  <tableColumns count="3">
    <tableColumn name="Column1" id="1"/>
    <tableColumn name="Column2" id="2"/>
    <tableColumn name="Column3" id="3"/>
  </tableColumns>
  <tableStyleInfo name="CAJA SEMA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H133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UNE, MARTE, MIERCO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I2:M24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LUNE, MARTE, MIERCOL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O2:Y24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NE, MARTE, MIERCOL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I25:N94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UNE, MARTE, MIERCOLE-style 4" showColumnStripes="0" showFirstColumn="1" showLastColumn="1" showRowStripes="1"/>
</table>
</file>

<file path=xl/tables/table8.xml><?xml version="1.0" encoding="utf-8"?>
<table xmlns="http://schemas.openxmlformats.org/spreadsheetml/2006/main" headerRowCount="0" ref="O25:Y94" displayName="Table_8" name="Table_8" id="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UNE, MARTE, MIERCOLE-style 5" showColumnStripes="0" showFirstColumn="1" showLastColumn="1" showRowStripes="1"/>
</table>
</file>

<file path=xl/tables/table9.xml><?xml version="1.0" encoding="utf-8"?>
<table xmlns="http://schemas.openxmlformats.org/spreadsheetml/2006/main" headerRowCount="0" ref="S99:Y99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UNE, MARTE, MIERCOLE-style 6" showColumnStripes="0" showFirstColumn="1" showLastColumn="1" showRowStripes="1"/>
</table>
</file>

<file path=xl/tables/table10.xml><?xml version="1.0" encoding="utf-8"?>
<table xmlns="http://schemas.openxmlformats.org/spreadsheetml/2006/main" headerRowCount="0" ref="J103:P103" displayName="Table_10" name="Table_10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UNE, MARTE, MIERCOLE-style 7" showColumnStripes="0" showFirstColumn="1" showLastColumn="1" showRowStripes="1"/>
</table>
</file>

<file path=xl/tables/table11.xml><?xml version="1.0" encoding="utf-8"?>
<table xmlns="http://schemas.openxmlformats.org/spreadsheetml/2006/main" headerRowCount="0" ref="A142:B148" displayName="Table_11" name="Table_11" id="11">
  <tableColumns count="2">
    <tableColumn name="Column1" id="1"/>
    <tableColumn name="Column2" id="2"/>
  </tableColumns>
  <tableStyleInfo name="LUNE, MARTE, MIERCOLE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2:G133" displayName="Table_12" name="Table_12" id="12">
  <tableColumns count="7">
    <tableColumn name="NOMBRE DE CLIENTE" id="1"/>
    <tableColumn name="MITA EFECTIVO" id="2"/>
    <tableColumn name="IMPORTE" id="3"/>
    <tableColumn name="PAGO X DIA" id="4"/>
    <tableColumn name="MER" id="5"/>
    <tableColumn name="EFE" id="6"/>
    <tableColumn name="MITAD MERCADO" id="7"/>
  </tableColumns>
  <tableStyleInfo name="JUEVE, VIERNE, SABADUKI-style" showColumnStripes="0" showFirstColumn="1" showLastColumn="1" showRowStripes="1"/>
</table>
</file>

<file path=xl/tables/table13.xml><?xml version="1.0" encoding="utf-8"?>
<table xmlns="http://schemas.openxmlformats.org/spreadsheetml/2006/main" ref="J2:P15" displayName="Table_13" name="Table_13" id="13">
  <tableColumns count="7">
    <tableColumn name="NOMBRE DE CLIENTE" id="1"/>
    <tableColumn name="MITA EFECTIVO" id="2"/>
    <tableColumn name="IMPORTE" id="3"/>
    <tableColumn name="PAGO X DIA" id="4"/>
    <tableColumn name="MER" id="5"/>
    <tableColumn name="EFE" id="6"/>
    <tableColumn name="MITAD MERCADO" id="7"/>
  </tableColumns>
  <tableStyleInfo name="JUEVE, VIERNE, SABADUKI-style 2" showColumnStripes="0" showFirstColumn="1" showLastColumn="1" showRowStripes="1"/>
</table>
</file>

<file path=xl/tables/table14.xml><?xml version="1.0" encoding="utf-8"?>
<table xmlns="http://schemas.openxmlformats.org/spreadsheetml/2006/main" ref="S2:Y15" displayName="Table_14" name="Table_14" id="14">
  <tableColumns count="7">
    <tableColumn name="NOMBRE DE CLIENTE" id="1"/>
    <tableColumn name="MITA EFECTIVO" id="2"/>
    <tableColumn name="IMPORTE" id="3"/>
    <tableColumn name="PAGO X DIA" id="4"/>
    <tableColumn name="MER" id="5"/>
    <tableColumn name="EFE" id="6"/>
    <tableColumn name="MITAD MERCADO" id="7"/>
  </tableColumns>
  <tableStyleInfo name="JUEVE, VIERNE, SABADUKI-style 3" showColumnStripes="0" showFirstColumn="1" showLastColumn="1" showRowStripes="1"/>
</table>
</file>

<file path=xl/tables/table15.xml><?xml version="1.0" encoding="utf-8"?>
<table xmlns="http://schemas.openxmlformats.org/spreadsheetml/2006/main" headerRowCount="0" ref="J22:N108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JUEVE, VIERNE, SABADUKI-style 4" showColumnStripes="0" showFirstColumn="1" showLastColumn="1" showRowStripes="1"/>
</table>
</file>

<file path=xl/tables/table16.xml><?xml version="1.0" encoding="utf-8"?>
<table xmlns="http://schemas.openxmlformats.org/spreadsheetml/2006/main" headerRowCount="0" ref="P27:Y99" displayName="Table_16" name="Table_16" id="1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JUEVE, VIERNE, SABADUKI-style 5" showColumnStripes="0" showFirstColumn="1" showLastColumn="1" showRowStripes="1"/>
</table>
</file>

<file path=xl/tables/table17.xml><?xml version="1.0" encoding="utf-8"?>
<table xmlns="http://schemas.openxmlformats.org/spreadsheetml/2006/main" headerRowCount="0" ref="H22:H38" displayName="Table_17" name="Table_17" id="17">
  <tableColumns count="1">
    <tableColumn name="Column1" id="1"/>
  </tableColumns>
  <tableStyleInfo name="Hoja 25-style" showColumnStripes="0" showFirstColumn="1" showLastColumn="1" showRowStripes="1"/>
</table>
</file>

<file path=xl/tables/table18.xml><?xml version="1.0" encoding="utf-8"?>
<table xmlns="http://schemas.openxmlformats.org/spreadsheetml/2006/main" headerRowCount="0" ref="G4:I18" displayName="Table_18" name="Table_18" id="18">
  <tableColumns count="3">
    <tableColumn name="Column1" id="1"/>
    <tableColumn name="Column2" id="2"/>
    <tableColumn name="Column3" id="3"/>
  </tableColumns>
  <tableStyleInfo name="CALCULADORA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P6:V13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LCULADORA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FF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6.xml"/><Relationship Id="rId10" Type="http://schemas.openxmlformats.org/officeDocument/2006/relationships/table" Target="../tables/table15.xml"/><Relationship Id="rId9" Type="http://schemas.openxmlformats.org/officeDocument/2006/relationships/table" Target="../tables/table14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2Lt8A7gXjXWFbSIKrzBK_HA_F_nLwT8?usp=drive_link" TargetMode="External"/><Relationship Id="rId2" Type="http://schemas.openxmlformats.org/officeDocument/2006/relationships/hyperlink" Target="https://drive.google.com/drive/folders/1sObeS0B_y4M52iiLtKOnZD4EcPezUyvZ?usp=drive_link" TargetMode="External"/><Relationship Id="rId3" Type="http://schemas.openxmlformats.org/officeDocument/2006/relationships/hyperlink" Target="https://drive.google.com/drive/folders/1cq_7TzCTeCiJtVfqK5dgCIMsq2mrwm5_" TargetMode="External"/><Relationship Id="rId4" Type="http://schemas.openxmlformats.org/officeDocument/2006/relationships/hyperlink" Target="https://drive.google.com/drive/folders/1zk1THZVtrIlfYRDyIA7MZWHa2G6K4SAV?usp=sharing" TargetMode="External"/><Relationship Id="rId9" Type="http://schemas.openxmlformats.org/officeDocument/2006/relationships/table" Target="../tables/table17.xml"/><Relationship Id="rId5" Type="http://schemas.openxmlformats.org/officeDocument/2006/relationships/hyperlink" Target="https://drive.google.com/drive/folders/1U7u8PJKjwnOTK2wM-XkzzZV3Ic2Wlq5M?usp=sharing" TargetMode="External"/><Relationship Id="rId6" Type="http://schemas.openxmlformats.org/officeDocument/2006/relationships/hyperlink" Target="https://drive.google.com/file/d/1qFa-kr_8ABhE_erdeWwjD1ee0ozK0tr3/view?usp=sharing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3" max="3" width="32.13"/>
    <col customWidth="1" min="4" max="4" width="13.5"/>
    <col customWidth="1" min="5" max="5" width="12.63"/>
    <col customWidth="1" min="6" max="6" width="32.13"/>
    <col customWidth="1" min="7" max="7" width="13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1"/>
      <c r="D7" s="1"/>
      <c r="E7" s="1"/>
      <c r="F7" s="1"/>
      <c r="G7" s="2" t="s"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3" t="s">
        <v>1</v>
      </c>
      <c r="D8" s="3" t="s">
        <v>2</v>
      </c>
      <c r="E8" s="1"/>
      <c r="F8" s="3" t="s">
        <v>1</v>
      </c>
      <c r="G8" s="3" t="s">
        <v>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T8" s="4"/>
    </row>
    <row r="9">
      <c r="A9" s="1"/>
      <c r="B9" s="1"/>
      <c r="C9" s="5" t="s">
        <v>3</v>
      </c>
      <c r="D9" s="6">
        <v>701300.0</v>
      </c>
      <c r="E9" s="1"/>
      <c r="F9" s="5" t="s">
        <v>3</v>
      </c>
      <c r="G9" s="6">
        <v>811000.0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5" t="s">
        <v>4</v>
      </c>
      <c r="D10" s="6">
        <v>749900.0</v>
      </c>
      <c r="E10" s="1"/>
      <c r="F10" s="5" t="s">
        <v>4</v>
      </c>
      <c r="G10" s="6">
        <v>856600.0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5" t="s">
        <v>5</v>
      </c>
      <c r="D11" s="7">
        <v>911500.0</v>
      </c>
      <c r="E11" s="1"/>
      <c r="F11" s="5" t="s">
        <v>5</v>
      </c>
      <c r="G11" s="7">
        <v>911500.0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s="4">
        <f>D15+900000</f>
        <v>5084300</v>
      </c>
    </row>
    <row r="12">
      <c r="A12" s="1"/>
      <c r="B12" s="1"/>
      <c r="C12" s="5" t="s">
        <v>6</v>
      </c>
      <c r="D12" s="7">
        <v>901800.0</v>
      </c>
      <c r="E12" s="1"/>
      <c r="F12" s="5" t="s">
        <v>6</v>
      </c>
      <c r="G12" s="7">
        <v>901800.0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5" t="s">
        <v>7</v>
      </c>
      <c r="D13" s="8">
        <v>919800.0</v>
      </c>
      <c r="E13" s="1"/>
      <c r="F13" s="5" t="s">
        <v>7</v>
      </c>
      <c r="G13" s="8">
        <v>919800.0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5" t="s">
        <v>8</v>
      </c>
      <c r="D14" s="8">
        <v>0.0</v>
      </c>
      <c r="E14" s="1"/>
      <c r="F14" s="5" t="s">
        <v>8</v>
      </c>
      <c r="G14" s="8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5" t="s">
        <v>9</v>
      </c>
      <c r="D15" s="9">
        <f>SUM(D9:D14)</f>
        <v>4184300</v>
      </c>
      <c r="E15" s="1"/>
      <c r="F15" s="5" t="s">
        <v>9</v>
      </c>
      <c r="G15" s="9">
        <f>SUM(G9:G14)</f>
        <v>4400700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1"/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/>
      <c r="B19" s="1"/>
      <c r="C19" s="2"/>
      <c r="D19" s="2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"/>
      <c r="B20" s="1"/>
      <c r="C20" s="2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1"/>
      <c r="C22" s="2"/>
      <c r="D22" s="11"/>
      <c r="E22" s="1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2" t="s">
        <v>10</v>
      </c>
      <c r="D23" s="11">
        <v>2000.0</v>
      </c>
      <c r="E23" s="1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2" t="s">
        <v>11</v>
      </c>
      <c r="D24" s="13"/>
      <c r="E24" s="11">
        <v>54684.0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2" t="s">
        <v>12</v>
      </c>
      <c r="D25" s="11">
        <v>3000.0</v>
      </c>
      <c r="E25" s="1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4" t="s">
        <v>13</v>
      </c>
      <c r="D26" s="15">
        <v>500.0</v>
      </c>
      <c r="E26" s="1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4" t="s">
        <v>14</v>
      </c>
      <c r="D27" s="15">
        <v>2000.0</v>
      </c>
      <c r="E27" s="1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7" t="s">
        <v>15</v>
      </c>
      <c r="D28" s="18">
        <v>3000.0</v>
      </c>
      <c r="E28" s="1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3"/>
      <c r="E29" s="1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20"/>
      <c r="D30" s="21"/>
      <c r="E30" s="2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22">
        <v>358900.0</v>
      </c>
      <c r="D31" s="23">
        <f>SUM(D17,D22:D29)</f>
        <v>10500</v>
      </c>
      <c r="E31" s="24"/>
      <c r="F31" s="25">
        <f>SUM(D31,D32)</f>
        <v>65184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23" t="s">
        <v>16</v>
      </c>
      <c r="D32" s="26">
        <f>SUM(E17,E22:E25)</f>
        <v>54684</v>
      </c>
      <c r="E32" s="2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L67" s="1"/>
      <c r="M67" s="1"/>
      <c r="N67" s="1"/>
      <c r="O67" s="1"/>
      <c r="P67" s="1"/>
      <c r="Q67" s="1"/>
      <c r="R67" s="1"/>
    </row>
    <row r="68">
      <c r="L68" s="1"/>
      <c r="M68" s="1"/>
      <c r="N68" s="1"/>
      <c r="O68" s="1"/>
      <c r="P68" s="1"/>
      <c r="Q68" s="1"/>
      <c r="R68" s="1"/>
    </row>
    <row r="69">
      <c r="L69" s="1"/>
      <c r="M69" s="1"/>
      <c r="N69" s="1"/>
      <c r="O69" s="1"/>
      <c r="P69" s="1"/>
      <c r="Q69" s="1"/>
      <c r="R69" s="1"/>
    </row>
    <row r="70">
      <c r="L70" s="1"/>
      <c r="M70" s="1"/>
      <c r="N70" s="1"/>
      <c r="O70" s="1"/>
      <c r="P70" s="1"/>
      <c r="Q70" s="1"/>
      <c r="R70" s="1"/>
    </row>
    <row r="71">
      <c r="L71" s="1"/>
      <c r="M71" s="1"/>
      <c r="N71" s="1"/>
      <c r="O71" s="1"/>
      <c r="P71" s="1"/>
      <c r="Q71" s="1"/>
      <c r="R71" s="1"/>
    </row>
    <row r="72">
      <c r="L72" s="1"/>
      <c r="M72" s="1"/>
      <c r="N72" s="1"/>
      <c r="O72" s="1"/>
      <c r="P72" s="1"/>
      <c r="Q72" s="1"/>
      <c r="R72" s="1"/>
    </row>
    <row r="73">
      <c r="L73" s="1"/>
      <c r="M73" s="1"/>
      <c r="N73" s="1"/>
      <c r="O73" s="1"/>
      <c r="P73" s="1"/>
      <c r="Q73" s="1"/>
      <c r="R73" s="1"/>
    </row>
    <row r="74">
      <c r="L74" s="1"/>
      <c r="M74" s="1"/>
      <c r="N74" s="1"/>
      <c r="O74" s="1"/>
      <c r="P74" s="1"/>
      <c r="Q74" s="1"/>
      <c r="R74" s="1"/>
    </row>
    <row r="75">
      <c r="L75" s="1"/>
      <c r="M75" s="1"/>
      <c r="N75" s="1"/>
      <c r="O75" s="1"/>
      <c r="P75" s="1"/>
      <c r="Q75" s="1"/>
      <c r="R75" s="1"/>
    </row>
    <row r="76">
      <c r="L76" s="1"/>
      <c r="M76" s="1"/>
      <c r="N76" s="1"/>
      <c r="O76" s="1"/>
      <c r="P76" s="1"/>
      <c r="Q76" s="1"/>
      <c r="R76" s="1"/>
    </row>
    <row r="77">
      <c r="L77" s="1"/>
      <c r="M77" s="1"/>
      <c r="N77" s="1"/>
      <c r="O77" s="1"/>
      <c r="P77" s="1"/>
      <c r="Q77" s="1"/>
      <c r="R77" s="1"/>
    </row>
    <row r="78">
      <c r="L78" s="1"/>
      <c r="M78" s="1"/>
      <c r="N78" s="1"/>
      <c r="O78" s="1"/>
      <c r="P78" s="1"/>
      <c r="Q78" s="1"/>
      <c r="R78" s="1"/>
    </row>
    <row r="79">
      <c r="L79" s="1"/>
      <c r="M79" s="1"/>
      <c r="N79" s="1"/>
      <c r="O79" s="1"/>
      <c r="P79" s="1"/>
      <c r="Q79" s="1"/>
      <c r="R79" s="1"/>
    </row>
    <row r="80">
      <c r="L80" s="1"/>
      <c r="M80" s="1"/>
      <c r="N80" s="1"/>
      <c r="O80" s="1"/>
      <c r="P80" s="1"/>
      <c r="Q80" s="1"/>
      <c r="R80" s="1"/>
    </row>
    <row r="81">
      <c r="L81" s="1"/>
      <c r="M81" s="1"/>
      <c r="N81" s="1"/>
      <c r="O81" s="1"/>
      <c r="P81" s="1"/>
      <c r="Q81" s="1"/>
      <c r="R81" s="1"/>
    </row>
    <row r="82">
      <c r="L82" s="1"/>
      <c r="M82" s="1"/>
      <c r="N82" s="1"/>
      <c r="O82" s="1"/>
      <c r="P82" s="1"/>
      <c r="Q82" s="1"/>
      <c r="R82" s="1"/>
    </row>
    <row r="83">
      <c r="L83" s="1"/>
      <c r="M83" s="1"/>
      <c r="N83" s="1"/>
      <c r="O83" s="1"/>
      <c r="P83" s="1"/>
      <c r="Q83" s="1"/>
      <c r="R83" s="1"/>
    </row>
    <row r="84">
      <c r="L84" s="1"/>
      <c r="M84" s="1"/>
      <c r="N84" s="1"/>
      <c r="O84" s="1"/>
      <c r="P84" s="1"/>
      <c r="Q84" s="1"/>
      <c r="R84" s="1"/>
    </row>
    <row r="85">
      <c r="L85" s="1"/>
      <c r="M85" s="1"/>
      <c r="N85" s="1"/>
      <c r="O85" s="1"/>
      <c r="P85" s="1"/>
      <c r="Q85" s="1"/>
      <c r="R85" s="1"/>
    </row>
    <row r="86">
      <c r="L86" s="1"/>
      <c r="M86" s="1"/>
      <c r="N86" s="1"/>
      <c r="O86" s="1"/>
      <c r="P86" s="1"/>
      <c r="Q86" s="1"/>
      <c r="R86" s="1"/>
    </row>
    <row r="87">
      <c r="L87" s="1"/>
      <c r="M87" s="1"/>
      <c r="N87" s="1"/>
      <c r="O87" s="1"/>
      <c r="P87" s="1"/>
      <c r="Q87" s="1"/>
      <c r="R87" s="1"/>
    </row>
    <row r="88">
      <c r="L88" s="1"/>
      <c r="M88" s="1"/>
      <c r="N88" s="1"/>
      <c r="O88" s="1"/>
      <c r="P88" s="1"/>
      <c r="Q88" s="1"/>
      <c r="R88" s="1"/>
    </row>
    <row r="89">
      <c r="B89" s="27">
        <v>13700.0</v>
      </c>
      <c r="L89" s="1"/>
      <c r="M89" s="1"/>
      <c r="N89" s="1"/>
      <c r="O89" s="1"/>
      <c r="P89" s="1"/>
      <c r="Q89" s="1"/>
      <c r="R89" s="1"/>
    </row>
    <row r="90">
      <c r="B90" s="27">
        <v>6500.0</v>
      </c>
      <c r="L90" s="1"/>
      <c r="M90" s="1"/>
      <c r="N90" s="1"/>
      <c r="O90" s="1"/>
      <c r="P90" s="1"/>
      <c r="Q90" s="1"/>
      <c r="R90" s="1"/>
    </row>
    <row r="91">
      <c r="B91" s="28">
        <f>SUM(B89:B90)</f>
        <v>20200</v>
      </c>
      <c r="L91" s="1"/>
      <c r="M91" s="1"/>
      <c r="N91" s="1"/>
      <c r="O91" s="1"/>
      <c r="P91" s="1"/>
      <c r="Q91" s="1"/>
      <c r="R91" s="1"/>
    </row>
    <row r="92">
      <c r="L92" s="1"/>
      <c r="M92" s="1"/>
      <c r="N92" s="1"/>
      <c r="O92" s="1"/>
      <c r="P92" s="1"/>
      <c r="Q92" s="1"/>
      <c r="R92" s="1"/>
    </row>
    <row r="93">
      <c r="L93" s="1"/>
      <c r="M93" s="1"/>
      <c r="N93" s="1"/>
      <c r="O93" s="1"/>
      <c r="P93" s="1"/>
      <c r="Q93" s="1"/>
      <c r="R93" s="1"/>
    </row>
    <row r="94">
      <c r="L94" s="1"/>
      <c r="M94" s="1"/>
      <c r="N94" s="1"/>
      <c r="O94" s="1"/>
      <c r="P94" s="1"/>
      <c r="Q94" s="1"/>
      <c r="R94" s="1"/>
    </row>
    <row r="95">
      <c r="L95" s="1"/>
      <c r="M95" s="1"/>
      <c r="N95" s="1"/>
      <c r="O95" s="1"/>
      <c r="P95" s="1"/>
      <c r="Q95" s="1"/>
      <c r="R95" s="1"/>
    </row>
    <row r="96">
      <c r="L96" s="1"/>
      <c r="M96" s="1"/>
      <c r="N96" s="1"/>
      <c r="O96" s="1"/>
      <c r="P96" s="1"/>
      <c r="Q96" s="1"/>
      <c r="R96" s="1"/>
    </row>
    <row r="97">
      <c r="L97" s="1"/>
      <c r="M97" s="1"/>
      <c r="N97" s="1"/>
      <c r="O97" s="1"/>
      <c r="P97" s="1"/>
      <c r="Q97" s="1"/>
      <c r="R97" s="1"/>
    </row>
    <row r="98">
      <c r="L98" s="1"/>
      <c r="M98" s="1"/>
      <c r="N98" s="1"/>
      <c r="O98" s="1"/>
      <c r="P98" s="1"/>
      <c r="Q98" s="1"/>
      <c r="R98" s="1"/>
    </row>
    <row r="99">
      <c r="L99" s="1"/>
      <c r="M99" s="1"/>
      <c r="N99" s="1"/>
      <c r="O99" s="1"/>
      <c r="P99" s="1"/>
      <c r="Q99" s="1"/>
      <c r="R99" s="1"/>
    </row>
    <row r="100">
      <c r="L100" s="1"/>
      <c r="M100" s="1"/>
      <c r="N100" s="1"/>
      <c r="O100" s="1"/>
      <c r="P100" s="1"/>
      <c r="Q100" s="1"/>
      <c r="R100" s="1"/>
    </row>
    <row r="101">
      <c r="L101" s="1"/>
      <c r="M101" s="1"/>
      <c r="N101" s="1"/>
      <c r="O101" s="1"/>
      <c r="P101" s="1"/>
      <c r="Q101" s="1"/>
      <c r="R101" s="1"/>
    </row>
    <row r="102">
      <c r="L102" s="1"/>
      <c r="M102" s="1"/>
      <c r="N102" s="1"/>
      <c r="O102" s="1"/>
      <c r="P102" s="1"/>
      <c r="Q102" s="1"/>
      <c r="R102" s="1"/>
    </row>
    <row r="103">
      <c r="L103" s="1"/>
      <c r="M103" s="1"/>
      <c r="N103" s="1"/>
      <c r="O103" s="1"/>
      <c r="P103" s="1"/>
      <c r="Q103" s="1"/>
      <c r="R103" s="1"/>
    </row>
    <row r="104">
      <c r="L104" s="1"/>
      <c r="M104" s="1"/>
      <c r="N104" s="1"/>
      <c r="O104" s="1"/>
      <c r="P104" s="1"/>
      <c r="Q104" s="1"/>
      <c r="R104" s="1"/>
    </row>
    <row r="105">
      <c r="L105" s="1"/>
      <c r="M105" s="1"/>
      <c r="N105" s="1"/>
      <c r="O105" s="1"/>
      <c r="P105" s="1"/>
      <c r="Q105" s="1"/>
      <c r="R105" s="1"/>
    </row>
    <row r="106">
      <c r="L106" s="1"/>
      <c r="M106" s="1"/>
      <c r="N106" s="1"/>
      <c r="O106" s="1"/>
      <c r="P106" s="1"/>
      <c r="Q106" s="1"/>
      <c r="R106" s="1"/>
    </row>
    <row r="107">
      <c r="L107" s="1"/>
      <c r="M107" s="1"/>
      <c r="N107" s="1"/>
      <c r="O107" s="1"/>
      <c r="P107" s="1"/>
      <c r="Q107" s="1"/>
      <c r="R107" s="1"/>
    </row>
    <row r="108">
      <c r="L108" s="1"/>
      <c r="M108" s="1"/>
      <c r="N108" s="1"/>
      <c r="O108" s="1"/>
      <c r="P108" s="1"/>
      <c r="Q108" s="1"/>
      <c r="R108" s="1"/>
    </row>
    <row r="109">
      <c r="L109" s="1"/>
      <c r="M109" s="1"/>
      <c r="N109" s="1"/>
      <c r="O109" s="1"/>
      <c r="P109" s="1"/>
      <c r="Q109" s="1"/>
      <c r="R109" s="1"/>
    </row>
    <row r="110">
      <c r="L110" s="1"/>
      <c r="M110" s="1"/>
      <c r="N110" s="1"/>
      <c r="O110" s="1"/>
      <c r="P110" s="1"/>
      <c r="Q110" s="1"/>
      <c r="R110" s="1"/>
    </row>
    <row r="111">
      <c r="L111" s="1"/>
      <c r="M111" s="1"/>
      <c r="N111" s="1"/>
      <c r="O111" s="1"/>
      <c r="P111" s="1"/>
      <c r="Q111" s="1"/>
      <c r="R111" s="1"/>
    </row>
    <row r="112">
      <c r="L112" s="1"/>
      <c r="M112" s="1"/>
      <c r="N112" s="1"/>
      <c r="O112" s="1"/>
      <c r="P112" s="1"/>
      <c r="Q112" s="1"/>
      <c r="R112" s="1"/>
    </row>
    <row r="113">
      <c r="L113" s="1"/>
      <c r="M113" s="1"/>
      <c r="N113" s="1"/>
      <c r="O113" s="1"/>
      <c r="P113" s="1"/>
      <c r="Q113" s="1"/>
      <c r="R113" s="1"/>
    </row>
    <row r="114">
      <c r="L114" s="1"/>
      <c r="M114" s="1"/>
      <c r="N114" s="1"/>
      <c r="O114" s="1"/>
      <c r="P114" s="1"/>
      <c r="Q114" s="1"/>
      <c r="R114" s="1"/>
    </row>
    <row r="115">
      <c r="L115" s="1"/>
      <c r="M115" s="1"/>
      <c r="N115" s="1"/>
      <c r="O115" s="1"/>
      <c r="P115" s="1"/>
      <c r="Q115" s="1"/>
      <c r="R115" s="1"/>
    </row>
    <row r="116">
      <c r="L116" s="1"/>
      <c r="M116" s="1"/>
      <c r="N116" s="1"/>
      <c r="O116" s="1"/>
      <c r="P116" s="1"/>
      <c r="Q116" s="1"/>
      <c r="R116" s="1"/>
    </row>
    <row r="117">
      <c r="L117" s="1"/>
      <c r="M117" s="1"/>
      <c r="N117" s="1"/>
      <c r="O117" s="1"/>
      <c r="P117" s="1"/>
      <c r="Q117" s="1"/>
      <c r="R117" s="1"/>
    </row>
    <row r="118">
      <c r="L118" s="1"/>
      <c r="M118" s="1"/>
      <c r="N118" s="1"/>
      <c r="O118" s="1"/>
      <c r="P118" s="1"/>
      <c r="Q118" s="1"/>
      <c r="R118" s="1"/>
    </row>
    <row r="119">
      <c r="L119" s="1"/>
      <c r="M119" s="1"/>
      <c r="N119" s="1"/>
      <c r="O119" s="1"/>
      <c r="P119" s="1"/>
      <c r="Q119" s="1"/>
      <c r="R119" s="1"/>
    </row>
    <row r="120">
      <c r="L120" s="1"/>
      <c r="M120" s="1"/>
      <c r="N120" s="1"/>
      <c r="O120" s="1"/>
      <c r="P120" s="1"/>
      <c r="Q120" s="1"/>
      <c r="R120" s="1"/>
    </row>
    <row r="121">
      <c r="L121" s="1"/>
      <c r="M121" s="1"/>
      <c r="N121" s="1"/>
      <c r="O121" s="1"/>
      <c r="P121" s="1"/>
      <c r="Q121" s="1"/>
      <c r="R121" s="1"/>
    </row>
    <row r="122">
      <c r="L122" s="1"/>
      <c r="M122" s="1"/>
      <c r="N122" s="1"/>
      <c r="O122" s="1"/>
      <c r="P122" s="1"/>
      <c r="Q122" s="1"/>
      <c r="R122" s="1"/>
    </row>
    <row r="123">
      <c r="L123" s="1"/>
      <c r="M123" s="1"/>
      <c r="N123" s="1"/>
      <c r="O123" s="1"/>
      <c r="P123" s="1"/>
      <c r="Q123" s="1"/>
      <c r="R123" s="1"/>
    </row>
    <row r="124">
      <c r="L124" s="1"/>
      <c r="M124" s="1"/>
      <c r="N124" s="1"/>
      <c r="O124" s="1"/>
      <c r="P124" s="1"/>
      <c r="Q124" s="1"/>
      <c r="R124" s="1"/>
    </row>
    <row r="125">
      <c r="L125" s="1"/>
      <c r="M125" s="1"/>
      <c r="N125" s="1"/>
      <c r="O125" s="1"/>
      <c r="P125" s="1"/>
      <c r="Q125" s="1"/>
      <c r="R125" s="1"/>
    </row>
    <row r="126">
      <c r="L126" s="1"/>
      <c r="M126" s="1"/>
      <c r="N126" s="1"/>
      <c r="O126" s="1"/>
      <c r="P126" s="1"/>
      <c r="Q126" s="1"/>
      <c r="R126" s="1"/>
    </row>
    <row r="127">
      <c r="L127" s="1"/>
      <c r="M127" s="1"/>
      <c r="N127" s="1"/>
      <c r="O127" s="1"/>
      <c r="P127" s="1"/>
      <c r="Q127" s="1"/>
      <c r="R127" s="1"/>
    </row>
    <row r="128">
      <c r="L128" s="1"/>
      <c r="M128" s="1"/>
      <c r="N128" s="1"/>
      <c r="O128" s="1"/>
      <c r="P128" s="1"/>
      <c r="Q128" s="1"/>
      <c r="R128" s="1"/>
    </row>
    <row r="129">
      <c r="L129" s="1"/>
      <c r="M129" s="1"/>
      <c r="N129" s="1"/>
      <c r="O129" s="1"/>
      <c r="P129" s="1"/>
      <c r="Q129" s="1"/>
      <c r="R129" s="1"/>
    </row>
    <row r="130">
      <c r="L130" s="1"/>
      <c r="M130" s="1"/>
      <c r="N130" s="1"/>
      <c r="O130" s="1"/>
      <c r="P130" s="1"/>
      <c r="Q130" s="1"/>
      <c r="R130" s="1"/>
    </row>
    <row r="131">
      <c r="L131" s="1"/>
      <c r="M131" s="1"/>
      <c r="N131" s="1"/>
      <c r="O131" s="1"/>
      <c r="P131" s="1"/>
      <c r="Q131" s="1"/>
      <c r="R131" s="1"/>
    </row>
    <row r="132">
      <c r="L132" s="1"/>
      <c r="M132" s="1"/>
      <c r="N132" s="1"/>
      <c r="O132" s="1"/>
      <c r="P132" s="1"/>
      <c r="Q132" s="1"/>
      <c r="R132" s="1"/>
    </row>
    <row r="133">
      <c r="L133" s="1"/>
      <c r="M133" s="1"/>
      <c r="N133" s="1"/>
      <c r="O133" s="1"/>
      <c r="P133" s="1"/>
      <c r="Q133" s="1"/>
      <c r="R133" s="1"/>
    </row>
    <row r="134">
      <c r="L134" s="1"/>
      <c r="M134" s="1"/>
      <c r="N134" s="1"/>
      <c r="O134" s="1"/>
      <c r="P134" s="1"/>
      <c r="Q134" s="1"/>
      <c r="R134" s="1"/>
    </row>
    <row r="135">
      <c r="L135" s="1"/>
      <c r="M135" s="1"/>
      <c r="N135" s="1"/>
      <c r="O135" s="1"/>
      <c r="P135" s="1"/>
      <c r="Q135" s="1"/>
      <c r="R135" s="1"/>
    </row>
    <row r="136">
      <c r="L136" s="1"/>
      <c r="M136" s="1"/>
      <c r="N136" s="1"/>
      <c r="O136" s="1"/>
      <c r="P136" s="1"/>
      <c r="Q136" s="1"/>
      <c r="R136" s="1"/>
    </row>
    <row r="137">
      <c r="L137" s="1"/>
      <c r="M137" s="1"/>
      <c r="N137" s="1"/>
      <c r="O137" s="1"/>
      <c r="P137" s="1"/>
      <c r="Q137" s="1"/>
      <c r="R137" s="1"/>
    </row>
    <row r="138">
      <c r="L138" s="1"/>
      <c r="M138" s="1"/>
      <c r="N138" s="1"/>
      <c r="O138" s="1"/>
      <c r="P138" s="1"/>
      <c r="Q138" s="1"/>
      <c r="R138" s="1"/>
    </row>
    <row r="139">
      <c r="L139" s="1"/>
      <c r="M139" s="1"/>
      <c r="N139" s="1"/>
      <c r="O139" s="1"/>
      <c r="P139" s="1"/>
      <c r="Q139" s="1"/>
      <c r="R139" s="1"/>
    </row>
    <row r="140">
      <c r="L140" s="1"/>
      <c r="M140" s="1"/>
      <c r="N140" s="1"/>
      <c r="O140" s="1"/>
      <c r="P140" s="1"/>
      <c r="Q140" s="1"/>
      <c r="R140" s="1"/>
    </row>
    <row r="141">
      <c r="L141" s="1"/>
      <c r="M141" s="1"/>
      <c r="N141" s="1"/>
      <c r="O141" s="1"/>
      <c r="P141" s="1"/>
      <c r="Q141" s="1"/>
      <c r="R141" s="1"/>
    </row>
    <row r="142">
      <c r="L142" s="1"/>
      <c r="M142" s="1"/>
      <c r="N142" s="1"/>
      <c r="O142" s="1"/>
      <c r="P142" s="1"/>
      <c r="Q142" s="1"/>
      <c r="R142" s="1"/>
    </row>
    <row r="143">
      <c r="L143" s="1"/>
      <c r="M143" s="1"/>
      <c r="N143" s="1"/>
      <c r="O143" s="1"/>
      <c r="P143" s="1"/>
      <c r="Q143" s="1"/>
      <c r="R143" s="1"/>
    </row>
    <row r="144">
      <c r="L144" s="1"/>
      <c r="M144" s="1"/>
      <c r="N144" s="1"/>
      <c r="O144" s="1"/>
      <c r="P144" s="1"/>
      <c r="Q144" s="1"/>
      <c r="R144" s="1"/>
    </row>
    <row r="145">
      <c r="L145" s="1"/>
      <c r="M145" s="1"/>
      <c r="N145" s="1"/>
      <c r="O145" s="1"/>
      <c r="P145" s="1"/>
      <c r="Q145" s="1"/>
      <c r="R145" s="1"/>
    </row>
    <row r="146">
      <c r="L146" s="1"/>
      <c r="M146" s="1"/>
      <c r="N146" s="1"/>
      <c r="O146" s="1"/>
      <c r="P146" s="1"/>
      <c r="Q146" s="1"/>
      <c r="R146" s="1"/>
    </row>
    <row r="147">
      <c r="L147" s="1"/>
      <c r="M147" s="1"/>
      <c r="N147" s="1"/>
      <c r="O147" s="1"/>
      <c r="P147" s="1"/>
      <c r="Q147" s="1"/>
      <c r="R147" s="1"/>
    </row>
    <row r="148">
      <c r="L148" s="1"/>
      <c r="M148" s="1"/>
      <c r="N148" s="1"/>
      <c r="O148" s="1"/>
      <c r="P148" s="1"/>
      <c r="Q148" s="1"/>
      <c r="R148" s="1"/>
    </row>
    <row r="149">
      <c r="L149" s="1"/>
      <c r="M149" s="1"/>
      <c r="N149" s="1"/>
      <c r="O149" s="1"/>
      <c r="P149" s="1"/>
      <c r="Q149" s="1"/>
      <c r="R149" s="1"/>
    </row>
    <row r="150">
      <c r="L150" s="1"/>
      <c r="M150" s="1"/>
      <c r="N150" s="1"/>
      <c r="O150" s="1"/>
      <c r="P150" s="1"/>
      <c r="Q150" s="1"/>
      <c r="R150" s="1"/>
    </row>
    <row r="151">
      <c r="L151" s="1"/>
      <c r="M151" s="1"/>
      <c r="N151" s="1"/>
      <c r="O151" s="1"/>
      <c r="P151" s="1"/>
      <c r="Q151" s="1"/>
      <c r="R151" s="1"/>
    </row>
    <row r="152">
      <c r="L152" s="1"/>
      <c r="M152" s="1"/>
      <c r="N152" s="1"/>
      <c r="O152" s="1"/>
      <c r="P152" s="1"/>
      <c r="Q152" s="1"/>
      <c r="R152" s="1"/>
    </row>
    <row r="153">
      <c r="L153" s="1"/>
      <c r="M153" s="1"/>
      <c r="N153" s="1"/>
      <c r="O153" s="1"/>
      <c r="P153" s="1"/>
      <c r="Q153" s="1"/>
      <c r="R153" s="1"/>
    </row>
    <row r="154">
      <c r="L154" s="1"/>
      <c r="M154" s="1"/>
      <c r="N154" s="1"/>
      <c r="O154" s="1"/>
      <c r="P154" s="1"/>
      <c r="Q154" s="1"/>
      <c r="R154" s="1"/>
    </row>
    <row r="155">
      <c r="L155" s="1"/>
      <c r="M155" s="1"/>
      <c r="N155" s="1"/>
      <c r="O155" s="1"/>
      <c r="P155" s="1"/>
      <c r="Q155" s="1"/>
      <c r="R155" s="1"/>
    </row>
    <row r="156">
      <c r="L156" s="1"/>
      <c r="M156" s="1"/>
      <c r="N156" s="1"/>
      <c r="O156" s="1"/>
      <c r="P156" s="1"/>
      <c r="Q156" s="1"/>
      <c r="R156" s="1"/>
    </row>
    <row r="157">
      <c r="L157" s="1"/>
      <c r="M157" s="1"/>
      <c r="N157" s="1"/>
      <c r="O157" s="1"/>
      <c r="P157" s="1"/>
      <c r="Q157" s="1"/>
      <c r="R157" s="1"/>
    </row>
    <row r="158">
      <c r="L158" s="1"/>
      <c r="M158" s="1"/>
      <c r="N158" s="1"/>
      <c r="O158" s="1"/>
      <c r="P158" s="1"/>
      <c r="Q158" s="1"/>
      <c r="R158" s="1"/>
    </row>
    <row r="159">
      <c r="L159" s="1"/>
      <c r="M159" s="1"/>
      <c r="N159" s="1"/>
      <c r="O159" s="1"/>
      <c r="P159" s="1"/>
      <c r="Q159" s="1"/>
      <c r="R159" s="1"/>
    </row>
    <row r="160">
      <c r="L160" s="1"/>
      <c r="M160" s="1"/>
      <c r="N160" s="1"/>
      <c r="O160" s="1"/>
      <c r="P160" s="1"/>
      <c r="Q160" s="1"/>
      <c r="R160" s="1"/>
    </row>
    <row r="161">
      <c r="L161" s="1"/>
      <c r="M161" s="1"/>
      <c r="N161" s="1"/>
      <c r="O161" s="1"/>
      <c r="P161" s="1"/>
      <c r="Q161" s="1"/>
      <c r="R161" s="1"/>
    </row>
    <row r="162">
      <c r="L162" s="1"/>
      <c r="M162" s="1"/>
      <c r="N162" s="1"/>
      <c r="O162" s="1"/>
      <c r="P162" s="1"/>
      <c r="Q162" s="1"/>
      <c r="R162" s="1"/>
    </row>
    <row r="163">
      <c r="L163" s="1"/>
      <c r="M163" s="1"/>
      <c r="N163" s="1"/>
      <c r="O163" s="1"/>
      <c r="P163" s="1"/>
      <c r="Q163" s="1"/>
      <c r="R163" s="1"/>
    </row>
    <row r="164">
      <c r="L164" s="1"/>
      <c r="M164" s="1"/>
      <c r="N164" s="1"/>
      <c r="O164" s="1"/>
      <c r="P164" s="1"/>
      <c r="Q164" s="1"/>
      <c r="R164" s="1"/>
    </row>
    <row r="165">
      <c r="L165" s="1"/>
      <c r="M165" s="1"/>
      <c r="N165" s="1"/>
      <c r="O165" s="1"/>
      <c r="P165" s="1"/>
      <c r="Q165" s="1"/>
      <c r="R165" s="1"/>
    </row>
    <row r="166">
      <c r="L166" s="1"/>
      <c r="M166" s="1"/>
      <c r="N166" s="1"/>
      <c r="O166" s="1"/>
      <c r="P166" s="1"/>
      <c r="Q166" s="1"/>
      <c r="R166" s="1"/>
    </row>
    <row r="167">
      <c r="L167" s="1"/>
      <c r="M167" s="1"/>
      <c r="N167" s="1"/>
      <c r="O167" s="1"/>
      <c r="P167" s="1"/>
      <c r="Q167" s="1"/>
      <c r="R167" s="1"/>
    </row>
    <row r="168">
      <c r="L168" s="1"/>
      <c r="M168" s="1"/>
      <c r="N168" s="1"/>
      <c r="O168" s="1"/>
      <c r="P168" s="1"/>
      <c r="Q168" s="1"/>
      <c r="R168" s="1"/>
    </row>
    <row r="169">
      <c r="L169" s="1"/>
      <c r="M169" s="1"/>
      <c r="N169" s="1"/>
      <c r="O169" s="1"/>
      <c r="P169" s="1"/>
      <c r="Q169" s="1"/>
      <c r="R169" s="1"/>
    </row>
    <row r="170">
      <c r="L170" s="1"/>
      <c r="M170" s="1"/>
      <c r="N170" s="1"/>
      <c r="O170" s="1"/>
      <c r="P170" s="1"/>
      <c r="Q170" s="1"/>
      <c r="R170" s="1"/>
    </row>
    <row r="171">
      <c r="L171" s="1"/>
      <c r="M171" s="1"/>
      <c r="N171" s="1"/>
      <c r="O171" s="1"/>
      <c r="P171" s="1"/>
      <c r="Q171" s="1"/>
      <c r="R171" s="1"/>
    </row>
    <row r="172">
      <c r="L172" s="1"/>
      <c r="M172" s="1"/>
      <c r="N172" s="1"/>
      <c r="O172" s="1"/>
      <c r="P172" s="1"/>
      <c r="Q172" s="1"/>
      <c r="R172" s="1"/>
    </row>
    <row r="173">
      <c r="L173" s="1"/>
      <c r="M173" s="1"/>
      <c r="N173" s="1"/>
      <c r="O173" s="1"/>
      <c r="P173" s="1"/>
      <c r="Q173" s="1"/>
      <c r="R173" s="1"/>
    </row>
    <row r="174">
      <c r="L174" s="1"/>
      <c r="M174" s="1"/>
      <c r="N174" s="1"/>
      <c r="O174" s="1"/>
      <c r="P174" s="1"/>
      <c r="Q174" s="1"/>
      <c r="R174" s="1"/>
    </row>
    <row r="175">
      <c r="L175" s="1"/>
      <c r="M175" s="1"/>
      <c r="N175" s="1"/>
      <c r="O175" s="1"/>
      <c r="P175" s="1"/>
      <c r="Q175" s="1"/>
      <c r="R175" s="1"/>
    </row>
    <row r="176">
      <c r="L176" s="1"/>
      <c r="M176" s="1"/>
      <c r="N176" s="1"/>
      <c r="O176" s="1"/>
      <c r="P176" s="1"/>
      <c r="Q176" s="1"/>
      <c r="R176" s="1"/>
    </row>
    <row r="177">
      <c r="L177" s="1"/>
      <c r="M177" s="1"/>
      <c r="N177" s="1"/>
      <c r="O177" s="1"/>
      <c r="P177" s="1"/>
      <c r="Q177" s="1"/>
      <c r="R177" s="1"/>
    </row>
    <row r="178">
      <c r="L178" s="1"/>
      <c r="M178" s="1"/>
      <c r="N178" s="1"/>
      <c r="O178" s="1"/>
      <c r="P178" s="1"/>
      <c r="Q178" s="1"/>
      <c r="R178" s="1"/>
    </row>
    <row r="179">
      <c r="L179" s="1"/>
      <c r="M179" s="1"/>
      <c r="N179" s="1"/>
      <c r="O179" s="1"/>
      <c r="P179" s="1"/>
      <c r="Q179" s="1"/>
      <c r="R179" s="1"/>
    </row>
    <row r="180">
      <c r="L180" s="1"/>
      <c r="M180" s="1"/>
      <c r="N180" s="1"/>
      <c r="O180" s="1"/>
      <c r="P180" s="1"/>
      <c r="Q180" s="1"/>
      <c r="R180" s="1"/>
    </row>
    <row r="181">
      <c r="L181" s="1"/>
      <c r="M181" s="1"/>
      <c r="N181" s="1"/>
      <c r="O181" s="1"/>
      <c r="P181" s="1"/>
      <c r="Q181" s="1"/>
      <c r="R181" s="1"/>
    </row>
    <row r="182">
      <c r="L182" s="1"/>
      <c r="M182" s="1"/>
      <c r="N182" s="1"/>
      <c r="O182" s="1"/>
      <c r="P182" s="1"/>
      <c r="Q182" s="1"/>
      <c r="R182" s="1"/>
    </row>
    <row r="183">
      <c r="L183" s="1"/>
      <c r="M183" s="1"/>
      <c r="N183" s="1"/>
      <c r="O183" s="1"/>
      <c r="P183" s="1"/>
      <c r="Q183" s="1"/>
      <c r="R183" s="1"/>
    </row>
    <row r="184">
      <c r="L184" s="1"/>
      <c r="M184" s="1"/>
      <c r="N184" s="1"/>
      <c r="O184" s="1"/>
      <c r="P184" s="1"/>
      <c r="Q184" s="1"/>
      <c r="R184" s="1"/>
    </row>
    <row r="185">
      <c r="L185" s="1"/>
      <c r="M185" s="1"/>
      <c r="N185" s="1"/>
      <c r="O185" s="1"/>
      <c r="P185" s="1"/>
      <c r="Q185" s="1"/>
      <c r="R185" s="1"/>
    </row>
    <row r="186">
      <c r="L186" s="1"/>
      <c r="M186" s="1"/>
      <c r="N186" s="1"/>
      <c r="O186" s="1"/>
      <c r="P186" s="1"/>
      <c r="Q186" s="1"/>
      <c r="R186" s="1"/>
    </row>
    <row r="187">
      <c r="L187" s="1"/>
      <c r="M187" s="1"/>
      <c r="N187" s="1"/>
      <c r="O187" s="1"/>
      <c r="P187" s="1"/>
      <c r="Q187" s="1"/>
      <c r="R187" s="1"/>
    </row>
    <row r="188">
      <c r="L188" s="1"/>
      <c r="M188" s="1"/>
      <c r="N188" s="1"/>
      <c r="O188" s="1"/>
      <c r="P188" s="1"/>
      <c r="Q188" s="1"/>
      <c r="R188" s="1"/>
    </row>
    <row r="189">
      <c r="L189" s="1"/>
      <c r="M189" s="1"/>
      <c r="N189" s="1"/>
      <c r="O189" s="1"/>
      <c r="P189" s="1"/>
      <c r="Q189" s="1"/>
      <c r="R189" s="1"/>
    </row>
    <row r="190">
      <c r="L190" s="1"/>
      <c r="M190" s="1"/>
      <c r="N190" s="1"/>
      <c r="O190" s="1"/>
      <c r="P190" s="1"/>
      <c r="Q190" s="1"/>
      <c r="R190" s="1"/>
    </row>
    <row r="191">
      <c r="L191" s="1"/>
      <c r="M191" s="1"/>
      <c r="N191" s="1"/>
      <c r="O191" s="1"/>
      <c r="P191" s="1"/>
      <c r="Q191" s="1"/>
      <c r="R191" s="1"/>
    </row>
    <row r="192">
      <c r="L192" s="1"/>
      <c r="M192" s="1"/>
      <c r="N192" s="1"/>
      <c r="O192" s="1"/>
      <c r="P192" s="1"/>
      <c r="Q192" s="1"/>
      <c r="R192" s="1"/>
    </row>
    <row r="193">
      <c r="L193" s="1"/>
      <c r="M193" s="1"/>
      <c r="N193" s="1"/>
      <c r="O193" s="1"/>
      <c r="P193" s="1"/>
      <c r="Q193" s="1"/>
      <c r="R193" s="1"/>
    </row>
    <row r="194">
      <c r="L194" s="1"/>
      <c r="M194" s="1"/>
      <c r="N194" s="1"/>
      <c r="O194" s="1"/>
      <c r="P194" s="1"/>
      <c r="Q194" s="1"/>
      <c r="R194" s="1"/>
    </row>
    <row r="195">
      <c r="L195" s="1"/>
      <c r="M195" s="1"/>
      <c r="N195" s="1"/>
      <c r="O195" s="1"/>
      <c r="P195" s="1"/>
      <c r="Q195" s="1"/>
      <c r="R195" s="1"/>
    </row>
    <row r="196">
      <c r="L196" s="1"/>
      <c r="M196" s="1"/>
      <c r="N196" s="1"/>
      <c r="O196" s="1"/>
      <c r="P196" s="1"/>
      <c r="Q196" s="1"/>
      <c r="R196" s="1"/>
    </row>
    <row r="197">
      <c r="L197" s="1"/>
      <c r="M197" s="1"/>
      <c r="N197" s="1"/>
      <c r="O197" s="1"/>
      <c r="P197" s="1"/>
      <c r="Q197" s="1"/>
      <c r="R197" s="1"/>
    </row>
    <row r="198">
      <c r="L198" s="1"/>
      <c r="M198" s="1"/>
      <c r="N198" s="1"/>
      <c r="O198" s="1"/>
      <c r="P198" s="1"/>
      <c r="Q198" s="1"/>
      <c r="R198" s="1"/>
    </row>
    <row r="199">
      <c r="L199" s="1"/>
      <c r="M199" s="1"/>
      <c r="N199" s="1"/>
      <c r="O199" s="1"/>
      <c r="P199" s="1"/>
      <c r="Q199" s="1"/>
      <c r="R199" s="1"/>
    </row>
    <row r="200">
      <c r="L200" s="1"/>
      <c r="M200" s="1"/>
      <c r="N200" s="1"/>
      <c r="O200" s="1"/>
      <c r="P200" s="1"/>
      <c r="Q200" s="1"/>
      <c r="R200" s="1"/>
    </row>
    <row r="201">
      <c r="L201" s="1"/>
      <c r="M201" s="1"/>
      <c r="N201" s="1"/>
      <c r="O201" s="1"/>
      <c r="P201" s="1"/>
      <c r="Q201" s="1"/>
      <c r="R201" s="1"/>
    </row>
    <row r="202">
      <c r="L202" s="1"/>
      <c r="M202" s="1"/>
      <c r="N202" s="1"/>
      <c r="O202" s="1"/>
      <c r="P202" s="1"/>
      <c r="Q202" s="1"/>
      <c r="R202" s="1"/>
    </row>
    <row r="203">
      <c r="L203" s="1"/>
      <c r="M203" s="1"/>
      <c r="N203" s="1"/>
      <c r="O203" s="1"/>
      <c r="P203" s="1"/>
      <c r="Q203" s="1"/>
      <c r="R203" s="1"/>
    </row>
    <row r="204">
      <c r="L204" s="1"/>
      <c r="M204" s="1"/>
      <c r="N204" s="1"/>
      <c r="O204" s="1"/>
      <c r="P204" s="1"/>
      <c r="Q204" s="1"/>
      <c r="R204" s="1"/>
    </row>
    <row r="205">
      <c r="L205" s="1"/>
      <c r="M205" s="1"/>
      <c r="N205" s="1"/>
      <c r="O205" s="1"/>
      <c r="P205" s="1"/>
      <c r="Q205" s="1"/>
      <c r="R205" s="1"/>
    </row>
    <row r="206">
      <c r="L206" s="1"/>
      <c r="M206" s="1"/>
      <c r="N206" s="1"/>
      <c r="O206" s="1"/>
      <c r="P206" s="1"/>
      <c r="Q206" s="1"/>
      <c r="R206" s="1"/>
    </row>
    <row r="207">
      <c r="L207" s="1"/>
      <c r="M207" s="1"/>
      <c r="N207" s="1"/>
      <c r="O207" s="1"/>
      <c r="P207" s="1"/>
      <c r="Q207" s="1"/>
      <c r="R207" s="1"/>
    </row>
    <row r="208">
      <c r="L208" s="1"/>
      <c r="M208" s="1"/>
      <c r="N208" s="1"/>
      <c r="O208" s="1"/>
      <c r="P208" s="1"/>
      <c r="Q208" s="1"/>
      <c r="R208" s="1"/>
    </row>
    <row r="209">
      <c r="L209" s="1"/>
      <c r="M209" s="1"/>
      <c r="N209" s="1"/>
      <c r="O209" s="1"/>
      <c r="P209" s="1"/>
      <c r="Q209" s="1"/>
      <c r="R209" s="1"/>
    </row>
    <row r="210">
      <c r="L210" s="1"/>
      <c r="M210" s="1"/>
      <c r="N210" s="1"/>
      <c r="O210" s="1"/>
      <c r="P210" s="1"/>
      <c r="Q210" s="1"/>
      <c r="R210" s="1"/>
    </row>
    <row r="211">
      <c r="L211" s="1"/>
      <c r="M211" s="1"/>
      <c r="N211" s="1"/>
      <c r="O211" s="1"/>
      <c r="P211" s="1"/>
      <c r="Q211" s="1"/>
      <c r="R211" s="1"/>
    </row>
    <row r="212">
      <c r="L212" s="1"/>
      <c r="M212" s="1"/>
      <c r="N212" s="1"/>
      <c r="O212" s="1"/>
      <c r="P212" s="1"/>
      <c r="Q212" s="1"/>
      <c r="R212" s="1"/>
    </row>
    <row r="213">
      <c r="L213" s="1"/>
      <c r="M213" s="1"/>
      <c r="N213" s="1"/>
      <c r="O213" s="1"/>
      <c r="P213" s="1"/>
      <c r="Q213" s="1"/>
      <c r="R213" s="1"/>
    </row>
    <row r="214">
      <c r="L214" s="1"/>
      <c r="M214" s="1"/>
      <c r="N214" s="1"/>
      <c r="O214" s="1"/>
      <c r="P214" s="1"/>
      <c r="Q214" s="1"/>
      <c r="R214" s="1"/>
    </row>
    <row r="215">
      <c r="L215" s="1"/>
      <c r="M215" s="1"/>
      <c r="N215" s="1"/>
      <c r="O215" s="1"/>
      <c r="P215" s="1"/>
      <c r="Q215" s="1"/>
      <c r="R215" s="1"/>
    </row>
    <row r="216">
      <c r="L216" s="1"/>
      <c r="M216" s="1"/>
      <c r="N216" s="1"/>
      <c r="O216" s="1"/>
      <c r="P216" s="1"/>
      <c r="Q216" s="1"/>
      <c r="R216" s="1"/>
    </row>
    <row r="217">
      <c r="L217" s="1"/>
      <c r="M217" s="1"/>
      <c r="N217" s="1"/>
      <c r="O217" s="1"/>
      <c r="P217" s="1"/>
      <c r="Q217" s="1"/>
      <c r="R217" s="1"/>
    </row>
    <row r="218">
      <c r="L218" s="1"/>
      <c r="M218" s="1"/>
      <c r="N218" s="1"/>
      <c r="O218" s="1"/>
      <c r="P218" s="1"/>
      <c r="Q218" s="1"/>
      <c r="R218" s="1"/>
    </row>
    <row r="219">
      <c r="L219" s="1"/>
      <c r="M219" s="1"/>
      <c r="N219" s="1"/>
      <c r="O219" s="1"/>
      <c r="P219" s="1"/>
      <c r="Q219" s="1"/>
      <c r="R219" s="1"/>
    </row>
    <row r="220">
      <c r="L220" s="1"/>
      <c r="M220" s="1"/>
      <c r="N220" s="1"/>
      <c r="O220" s="1"/>
      <c r="P220" s="1"/>
      <c r="Q220" s="1"/>
      <c r="R220" s="1"/>
    </row>
    <row r="221">
      <c r="L221" s="1"/>
      <c r="M221" s="1"/>
      <c r="N221" s="1"/>
      <c r="O221" s="1"/>
      <c r="P221" s="1"/>
      <c r="Q221" s="1"/>
      <c r="R221" s="1"/>
    </row>
    <row r="222">
      <c r="L222" s="1"/>
      <c r="M222" s="1"/>
      <c r="N222" s="1"/>
      <c r="O222" s="1"/>
      <c r="P222" s="1"/>
      <c r="Q222" s="1"/>
      <c r="R222" s="1"/>
    </row>
    <row r="223">
      <c r="L223" s="1"/>
      <c r="M223" s="1"/>
      <c r="N223" s="1"/>
      <c r="O223" s="1"/>
      <c r="P223" s="1"/>
      <c r="Q223" s="1"/>
      <c r="R223" s="1"/>
    </row>
    <row r="224">
      <c r="L224" s="1"/>
      <c r="M224" s="1"/>
      <c r="N224" s="1"/>
      <c r="O224" s="1"/>
      <c r="P224" s="1"/>
      <c r="Q224" s="1"/>
      <c r="R224" s="1"/>
    </row>
    <row r="225">
      <c r="L225" s="1"/>
      <c r="M225" s="1"/>
      <c r="N225" s="1"/>
      <c r="O225" s="1"/>
      <c r="P225" s="1"/>
      <c r="Q225" s="1"/>
      <c r="R225" s="1"/>
    </row>
    <row r="226">
      <c r="L226" s="1"/>
      <c r="M226" s="1"/>
      <c r="N226" s="1"/>
      <c r="O226" s="1"/>
      <c r="P226" s="1"/>
      <c r="Q226" s="1"/>
      <c r="R226" s="1"/>
    </row>
    <row r="227">
      <c r="L227" s="1"/>
      <c r="M227" s="1"/>
      <c r="N227" s="1"/>
      <c r="O227" s="1"/>
      <c r="P227" s="1"/>
      <c r="Q227" s="1"/>
      <c r="R227" s="1"/>
    </row>
    <row r="228">
      <c r="L228" s="1"/>
      <c r="M228" s="1"/>
      <c r="N228" s="1"/>
      <c r="O228" s="1"/>
      <c r="P228" s="1"/>
      <c r="Q228" s="1"/>
      <c r="R228" s="1"/>
    </row>
    <row r="229">
      <c r="L229" s="1"/>
      <c r="M229" s="1"/>
      <c r="N229" s="1"/>
      <c r="O229" s="1"/>
      <c r="P229" s="1"/>
      <c r="Q229" s="1"/>
      <c r="R229" s="1"/>
    </row>
    <row r="230">
      <c r="L230" s="1"/>
      <c r="M230" s="1"/>
      <c r="N230" s="1"/>
      <c r="O230" s="1"/>
      <c r="P230" s="1"/>
      <c r="Q230" s="1"/>
      <c r="R230" s="1"/>
    </row>
    <row r="231">
      <c r="L231" s="1"/>
      <c r="M231" s="1"/>
      <c r="N231" s="1"/>
      <c r="O231" s="1"/>
      <c r="P231" s="1"/>
      <c r="Q231" s="1"/>
      <c r="R231" s="1"/>
    </row>
    <row r="232">
      <c r="L232" s="1"/>
      <c r="M232" s="1"/>
      <c r="N232" s="1"/>
      <c r="O232" s="1"/>
      <c r="P232" s="1"/>
      <c r="Q232" s="1"/>
      <c r="R232" s="1"/>
    </row>
    <row r="233">
      <c r="L233" s="1"/>
      <c r="M233" s="1"/>
      <c r="N233" s="1"/>
      <c r="O233" s="1"/>
      <c r="P233" s="1"/>
      <c r="Q233" s="1"/>
      <c r="R233" s="1"/>
    </row>
    <row r="234">
      <c r="L234" s="1"/>
      <c r="M234" s="1"/>
      <c r="N234" s="1"/>
      <c r="O234" s="1"/>
      <c r="P234" s="1"/>
      <c r="Q234" s="1"/>
      <c r="R234" s="1"/>
    </row>
    <row r="235">
      <c r="L235" s="1"/>
      <c r="M235" s="1"/>
      <c r="N235" s="1"/>
      <c r="O235" s="1"/>
      <c r="P235" s="1"/>
      <c r="Q235" s="1"/>
      <c r="R235" s="1"/>
    </row>
    <row r="236">
      <c r="L236" s="1"/>
      <c r="M236" s="1"/>
      <c r="N236" s="1"/>
      <c r="O236" s="1"/>
      <c r="P236" s="1"/>
      <c r="Q236" s="1"/>
      <c r="R236" s="1"/>
    </row>
    <row r="237">
      <c r="L237" s="1"/>
      <c r="M237" s="1"/>
      <c r="N237" s="1"/>
      <c r="O237" s="1"/>
      <c r="P237" s="1"/>
      <c r="Q237" s="1"/>
      <c r="R237" s="1"/>
    </row>
    <row r="238">
      <c r="L238" s="1"/>
      <c r="M238" s="1"/>
      <c r="N238" s="1"/>
      <c r="O238" s="1"/>
      <c r="P238" s="1"/>
      <c r="Q238" s="1"/>
      <c r="R238" s="1"/>
    </row>
    <row r="239">
      <c r="L239" s="1"/>
      <c r="M239" s="1"/>
      <c r="N239" s="1"/>
      <c r="O239" s="1"/>
      <c r="P239" s="1"/>
      <c r="Q239" s="1"/>
      <c r="R239" s="1"/>
    </row>
    <row r="240">
      <c r="L240" s="1"/>
      <c r="M240" s="1"/>
      <c r="N240" s="1"/>
      <c r="O240" s="1"/>
      <c r="P240" s="1"/>
      <c r="Q240" s="1"/>
      <c r="R240" s="1"/>
    </row>
    <row r="241">
      <c r="L241" s="1"/>
      <c r="M241" s="1"/>
      <c r="N241" s="1"/>
      <c r="O241" s="1"/>
      <c r="P241" s="1"/>
      <c r="Q241" s="1"/>
      <c r="R241" s="1"/>
    </row>
    <row r="242">
      <c r="L242" s="1"/>
      <c r="M242" s="1"/>
      <c r="N242" s="1"/>
      <c r="O242" s="1"/>
      <c r="P242" s="1"/>
      <c r="Q242" s="1"/>
      <c r="R242" s="1"/>
    </row>
    <row r="243">
      <c r="L243" s="1"/>
      <c r="M243" s="1"/>
      <c r="N243" s="1"/>
      <c r="O243" s="1"/>
      <c r="P243" s="1"/>
      <c r="Q243" s="1"/>
      <c r="R243" s="1"/>
    </row>
    <row r="244">
      <c r="L244" s="1"/>
      <c r="M244" s="1"/>
      <c r="N244" s="1"/>
      <c r="O244" s="1"/>
      <c r="P244" s="1"/>
      <c r="Q244" s="1"/>
      <c r="R244" s="1"/>
    </row>
    <row r="245">
      <c r="L245" s="1"/>
      <c r="M245" s="1"/>
      <c r="N245" s="1"/>
      <c r="O245" s="1"/>
      <c r="P245" s="1"/>
      <c r="Q245" s="1"/>
      <c r="R245" s="1"/>
    </row>
    <row r="246">
      <c r="L246" s="1"/>
      <c r="M246" s="1"/>
      <c r="N246" s="1"/>
      <c r="O246" s="1"/>
      <c r="P246" s="1"/>
      <c r="Q246" s="1"/>
      <c r="R246" s="1"/>
    </row>
    <row r="247">
      <c r="L247" s="1"/>
      <c r="M247" s="1"/>
      <c r="N247" s="1"/>
      <c r="O247" s="1"/>
      <c r="P247" s="1"/>
      <c r="Q247" s="1"/>
      <c r="R247" s="1"/>
    </row>
    <row r="248">
      <c r="L248" s="1"/>
      <c r="M248" s="1"/>
      <c r="N248" s="1"/>
      <c r="O248" s="1"/>
      <c r="P248" s="1"/>
      <c r="Q248" s="1"/>
      <c r="R248" s="1"/>
    </row>
    <row r="249">
      <c r="L249" s="1"/>
      <c r="M249" s="1"/>
      <c r="N249" s="1"/>
      <c r="O249" s="1"/>
      <c r="P249" s="1"/>
      <c r="Q249" s="1"/>
      <c r="R249" s="1"/>
    </row>
    <row r="250">
      <c r="L250" s="1"/>
      <c r="M250" s="1"/>
      <c r="N250" s="1"/>
      <c r="O250" s="1"/>
      <c r="P250" s="1"/>
      <c r="Q250" s="1"/>
      <c r="R250" s="1"/>
    </row>
    <row r="251">
      <c r="L251" s="1"/>
      <c r="M251" s="1"/>
      <c r="N251" s="1"/>
      <c r="O251" s="1"/>
      <c r="P251" s="1"/>
      <c r="Q251" s="1"/>
      <c r="R251" s="1"/>
    </row>
    <row r="252">
      <c r="L252" s="1"/>
      <c r="M252" s="1"/>
      <c r="N252" s="1"/>
      <c r="O252" s="1"/>
      <c r="P252" s="1"/>
      <c r="Q252" s="1"/>
      <c r="R252" s="1"/>
    </row>
    <row r="253">
      <c r="L253" s="1"/>
      <c r="M253" s="1"/>
      <c r="N253" s="1"/>
      <c r="O253" s="1"/>
      <c r="P253" s="1"/>
      <c r="Q253" s="1"/>
      <c r="R253" s="1"/>
    </row>
    <row r="254">
      <c r="L254" s="1"/>
      <c r="M254" s="1"/>
      <c r="N254" s="1"/>
      <c r="O254" s="1"/>
      <c r="P254" s="1"/>
      <c r="Q254" s="1"/>
      <c r="R254" s="1"/>
    </row>
    <row r="255">
      <c r="L255" s="1"/>
      <c r="M255" s="1"/>
      <c r="N255" s="1"/>
      <c r="O255" s="1"/>
      <c r="P255" s="1"/>
      <c r="Q255" s="1"/>
      <c r="R255" s="1"/>
    </row>
    <row r="256">
      <c r="L256" s="1"/>
      <c r="M256" s="1"/>
      <c r="N256" s="1"/>
      <c r="O256" s="1"/>
      <c r="P256" s="1"/>
      <c r="Q256" s="1"/>
      <c r="R256" s="1"/>
    </row>
    <row r="257">
      <c r="L257" s="1"/>
      <c r="M257" s="1"/>
      <c r="N257" s="1"/>
      <c r="O257" s="1"/>
      <c r="P257" s="1"/>
      <c r="Q257" s="1"/>
      <c r="R257" s="1"/>
    </row>
    <row r="258">
      <c r="L258" s="1"/>
      <c r="M258" s="1"/>
      <c r="N258" s="1"/>
      <c r="O258" s="1"/>
      <c r="P258" s="1"/>
      <c r="Q258" s="1"/>
      <c r="R258" s="1"/>
    </row>
    <row r="259">
      <c r="L259" s="1"/>
      <c r="M259" s="1"/>
      <c r="N259" s="1"/>
      <c r="O259" s="1"/>
      <c r="P259" s="1"/>
      <c r="Q259" s="1"/>
      <c r="R259" s="1"/>
    </row>
    <row r="260">
      <c r="L260" s="1"/>
      <c r="M260" s="1"/>
      <c r="N260" s="1"/>
      <c r="O260" s="1"/>
      <c r="P260" s="1"/>
      <c r="Q260" s="1"/>
      <c r="R260" s="1"/>
    </row>
    <row r="261">
      <c r="L261" s="1"/>
      <c r="M261" s="1"/>
      <c r="N261" s="1"/>
      <c r="O261" s="1"/>
      <c r="P261" s="1"/>
      <c r="Q261" s="1"/>
      <c r="R261" s="1"/>
    </row>
    <row r="262">
      <c r="L262" s="1"/>
      <c r="M262" s="1"/>
      <c r="N262" s="1"/>
      <c r="O262" s="1"/>
      <c r="P262" s="1"/>
      <c r="Q262" s="1"/>
      <c r="R262" s="1"/>
    </row>
    <row r="263">
      <c r="L263" s="1"/>
      <c r="M263" s="1"/>
      <c r="N263" s="1"/>
      <c r="O263" s="1"/>
      <c r="P263" s="1"/>
      <c r="Q263" s="1"/>
      <c r="R263" s="1"/>
    </row>
    <row r="264">
      <c r="L264" s="1"/>
      <c r="M264" s="1"/>
      <c r="N264" s="1"/>
      <c r="O264" s="1"/>
      <c r="P264" s="1"/>
      <c r="Q264" s="1"/>
      <c r="R264" s="1"/>
    </row>
    <row r="265">
      <c r="L265" s="1"/>
      <c r="M265" s="1"/>
      <c r="N265" s="1"/>
      <c r="O265" s="1"/>
      <c r="P265" s="1"/>
      <c r="Q265" s="1"/>
      <c r="R265" s="1"/>
    </row>
    <row r="266">
      <c r="L266" s="1"/>
      <c r="M266" s="1"/>
      <c r="N266" s="1"/>
      <c r="O266" s="1"/>
      <c r="P266" s="1"/>
      <c r="Q266" s="1"/>
      <c r="R266" s="1"/>
    </row>
    <row r="267">
      <c r="L267" s="1"/>
      <c r="M267" s="1"/>
      <c r="N267" s="1"/>
      <c r="O267" s="1"/>
      <c r="P267" s="1"/>
      <c r="Q267" s="1"/>
      <c r="R267" s="1"/>
    </row>
    <row r="268">
      <c r="L268" s="1"/>
      <c r="M268" s="1"/>
      <c r="N268" s="1"/>
      <c r="O268" s="1"/>
      <c r="P268" s="1"/>
      <c r="Q268" s="1"/>
      <c r="R268" s="1"/>
    </row>
    <row r="269">
      <c r="L269" s="1"/>
      <c r="M269" s="1"/>
      <c r="N269" s="1"/>
      <c r="O269" s="1"/>
      <c r="P269" s="1"/>
      <c r="Q269" s="1"/>
      <c r="R269" s="1"/>
    </row>
    <row r="270">
      <c r="L270" s="1"/>
      <c r="M270" s="1"/>
      <c r="N270" s="1"/>
      <c r="O270" s="1"/>
      <c r="P270" s="1"/>
      <c r="Q270" s="1"/>
      <c r="R270" s="1"/>
    </row>
    <row r="271">
      <c r="L271" s="1"/>
      <c r="M271" s="1"/>
      <c r="N271" s="1"/>
      <c r="O271" s="1"/>
      <c r="P271" s="1"/>
      <c r="Q271" s="1"/>
      <c r="R271" s="1"/>
    </row>
    <row r="272">
      <c r="L272" s="1"/>
      <c r="M272" s="1"/>
      <c r="N272" s="1"/>
      <c r="O272" s="1"/>
      <c r="P272" s="1"/>
      <c r="Q272" s="1"/>
      <c r="R272" s="1"/>
    </row>
    <row r="273">
      <c r="L273" s="1"/>
      <c r="M273" s="1"/>
      <c r="N273" s="1"/>
      <c r="O273" s="1"/>
      <c r="P273" s="1"/>
      <c r="Q273" s="1"/>
      <c r="R273" s="1"/>
    </row>
    <row r="274">
      <c r="L274" s="1"/>
      <c r="M274" s="1"/>
      <c r="N274" s="1"/>
      <c r="O274" s="1"/>
      <c r="P274" s="1"/>
      <c r="Q274" s="1"/>
      <c r="R274" s="1"/>
    </row>
    <row r="275">
      <c r="L275" s="1"/>
      <c r="M275" s="1"/>
      <c r="N275" s="1"/>
      <c r="O275" s="1"/>
      <c r="P275" s="1"/>
      <c r="Q275" s="1"/>
      <c r="R275" s="1"/>
    </row>
    <row r="276">
      <c r="L276" s="1"/>
      <c r="M276" s="1"/>
      <c r="N276" s="1"/>
      <c r="O276" s="1"/>
      <c r="P276" s="1"/>
      <c r="Q276" s="1"/>
      <c r="R276" s="1"/>
    </row>
    <row r="277">
      <c r="L277" s="1"/>
      <c r="M277" s="1"/>
      <c r="N277" s="1"/>
      <c r="O277" s="1"/>
      <c r="P277" s="1"/>
      <c r="Q277" s="1"/>
      <c r="R277" s="1"/>
    </row>
    <row r="278">
      <c r="L278" s="1"/>
      <c r="M278" s="1"/>
      <c r="N278" s="1"/>
      <c r="O278" s="1"/>
      <c r="P278" s="1"/>
      <c r="Q278" s="1"/>
      <c r="R278" s="1"/>
    </row>
    <row r="279">
      <c r="L279" s="1"/>
      <c r="M279" s="1"/>
      <c r="N279" s="1"/>
      <c r="O279" s="1"/>
      <c r="P279" s="1"/>
      <c r="Q279" s="1"/>
      <c r="R279" s="1"/>
    </row>
    <row r="280">
      <c r="L280" s="1"/>
      <c r="M280" s="1"/>
      <c r="N280" s="1"/>
      <c r="O280" s="1"/>
      <c r="P280" s="1"/>
      <c r="Q280" s="1"/>
      <c r="R280" s="1"/>
    </row>
    <row r="281">
      <c r="L281" s="1"/>
      <c r="M281" s="1"/>
      <c r="N281" s="1"/>
      <c r="O281" s="1"/>
      <c r="P281" s="1"/>
      <c r="Q281" s="1"/>
      <c r="R281" s="1"/>
    </row>
    <row r="282">
      <c r="L282" s="1"/>
      <c r="M282" s="1"/>
      <c r="N282" s="1"/>
      <c r="O282" s="1"/>
      <c r="P282" s="1"/>
      <c r="Q282" s="1"/>
      <c r="R282" s="1"/>
    </row>
    <row r="283">
      <c r="L283" s="1"/>
      <c r="M283" s="1"/>
      <c r="N283" s="1"/>
      <c r="O283" s="1"/>
      <c r="P283" s="1"/>
      <c r="Q283" s="1"/>
      <c r="R283" s="1"/>
    </row>
    <row r="284">
      <c r="L284" s="1"/>
      <c r="M284" s="1"/>
      <c r="N284" s="1"/>
      <c r="O284" s="1"/>
      <c r="P284" s="1"/>
      <c r="Q284" s="1"/>
      <c r="R284" s="1"/>
    </row>
    <row r="285">
      <c r="L285" s="1"/>
      <c r="M285" s="1"/>
      <c r="N285" s="1"/>
      <c r="O285" s="1"/>
      <c r="P285" s="1"/>
      <c r="Q285" s="1"/>
      <c r="R285" s="1"/>
    </row>
    <row r="286">
      <c r="L286" s="1"/>
      <c r="M286" s="1"/>
      <c r="N286" s="1"/>
      <c r="O286" s="1"/>
      <c r="P286" s="1"/>
      <c r="Q286" s="1"/>
      <c r="R286" s="1"/>
    </row>
    <row r="287">
      <c r="L287" s="1"/>
      <c r="M287" s="1"/>
      <c r="N287" s="1"/>
      <c r="O287" s="1"/>
      <c r="P287" s="1"/>
      <c r="Q287" s="1"/>
      <c r="R287" s="1"/>
    </row>
    <row r="288">
      <c r="L288" s="1"/>
      <c r="M288" s="1"/>
      <c r="N288" s="1"/>
      <c r="O288" s="1"/>
      <c r="P288" s="1"/>
      <c r="Q288" s="1"/>
      <c r="R288" s="1"/>
    </row>
    <row r="289">
      <c r="L289" s="1"/>
      <c r="M289" s="1"/>
      <c r="N289" s="1"/>
      <c r="O289" s="1"/>
      <c r="P289" s="1"/>
      <c r="Q289" s="1"/>
      <c r="R289" s="1"/>
    </row>
    <row r="290">
      <c r="L290" s="1"/>
      <c r="M290" s="1"/>
      <c r="N290" s="1"/>
      <c r="O290" s="1"/>
      <c r="P290" s="1"/>
      <c r="Q290" s="1"/>
      <c r="R290" s="1"/>
    </row>
    <row r="291">
      <c r="L291" s="1"/>
      <c r="M291" s="1"/>
      <c r="N291" s="1"/>
      <c r="O291" s="1"/>
      <c r="P291" s="1"/>
      <c r="Q291" s="1"/>
      <c r="R291" s="1"/>
    </row>
    <row r="292">
      <c r="L292" s="1"/>
      <c r="M292" s="1"/>
      <c r="N292" s="1"/>
      <c r="O292" s="1"/>
      <c r="P292" s="1"/>
      <c r="Q292" s="1"/>
      <c r="R292" s="1"/>
    </row>
    <row r="293">
      <c r="L293" s="1"/>
      <c r="M293" s="1"/>
      <c r="N293" s="1"/>
      <c r="O293" s="1"/>
      <c r="P293" s="1"/>
      <c r="Q293" s="1"/>
      <c r="R293" s="1"/>
    </row>
    <row r="294">
      <c r="L294" s="1"/>
      <c r="M294" s="1"/>
      <c r="N294" s="1"/>
      <c r="O294" s="1"/>
      <c r="P294" s="1"/>
      <c r="Q294" s="1"/>
      <c r="R294" s="1"/>
    </row>
    <row r="295">
      <c r="L295" s="1"/>
      <c r="M295" s="1"/>
      <c r="N295" s="1"/>
      <c r="O295" s="1"/>
      <c r="P295" s="1"/>
      <c r="Q295" s="1"/>
      <c r="R295" s="1"/>
    </row>
    <row r="296">
      <c r="L296" s="1"/>
      <c r="M296" s="1"/>
      <c r="N296" s="1"/>
      <c r="O296" s="1"/>
      <c r="P296" s="1"/>
      <c r="Q296" s="1"/>
      <c r="R296" s="1"/>
    </row>
    <row r="297">
      <c r="L297" s="1"/>
      <c r="M297" s="1"/>
      <c r="N297" s="1"/>
      <c r="O297" s="1"/>
      <c r="P297" s="1"/>
      <c r="Q297" s="1"/>
      <c r="R297" s="1"/>
    </row>
    <row r="298">
      <c r="L298" s="1"/>
      <c r="M298" s="1"/>
      <c r="N298" s="1"/>
      <c r="O298" s="1"/>
      <c r="P298" s="1"/>
      <c r="Q298" s="1"/>
      <c r="R298" s="1"/>
    </row>
    <row r="299">
      <c r="L299" s="1"/>
      <c r="M299" s="1"/>
      <c r="N299" s="1"/>
      <c r="O299" s="1"/>
      <c r="P299" s="1"/>
      <c r="Q299" s="1"/>
      <c r="R299" s="1"/>
    </row>
    <row r="300">
      <c r="L300" s="1"/>
      <c r="M300" s="1"/>
      <c r="N300" s="1"/>
      <c r="O300" s="1"/>
      <c r="P300" s="1"/>
      <c r="Q300" s="1"/>
      <c r="R300" s="1"/>
    </row>
    <row r="301">
      <c r="L301" s="1"/>
      <c r="M301" s="1"/>
      <c r="N301" s="1"/>
      <c r="O301" s="1"/>
      <c r="P301" s="1"/>
      <c r="Q301" s="1"/>
      <c r="R301" s="1"/>
    </row>
    <row r="302">
      <c r="L302" s="1"/>
      <c r="M302" s="1"/>
      <c r="N302" s="1"/>
      <c r="O302" s="1"/>
      <c r="P302" s="1"/>
      <c r="Q302" s="1"/>
      <c r="R302" s="1"/>
    </row>
    <row r="303">
      <c r="L303" s="1"/>
      <c r="M303" s="1"/>
      <c r="N303" s="1"/>
      <c r="O303" s="1"/>
      <c r="P303" s="1"/>
      <c r="Q303" s="1"/>
      <c r="R303" s="1"/>
    </row>
    <row r="304">
      <c r="L304" s="1"/>
      <c r="M304" s="1"/>
      <c r="N304" s="1"/>
      <c r="O304" s="1"/>
      <c r="P304" s="1"/>
      <c r="Q304" s="1"/>
      <c r="R304" s="1"/>
    </row>
    <row r="305">
      <c r="L305" s="1"/>
      <c r="M305" s="1"/>
      <c r="N305" s="1"/>
      <c r="O305" s="1"/>
      <c r="P305" s="1"/>
      <c r="Q305" s="1"/>
      <c r="R305" s="1"/>
    </row>
    <row r="306">
      <c r="L306" s="1"/>
      <c r="M306" s="1"/>
      <c r="N306" s="1"/>
      <c r="O306" s="1"/>
      <c r="P306" s="1"/>
      <c r="Q306" s="1"/>
      <c r="R306" s="1"/>
    </row>
    <row r="307">
      <c r="L307" s="1"/>
      <c r="M307" s="1"/>
      <c r="N307" s="1"/>
      <c r="O307" s="1"/>
      <c r="P307" s="1"/>
      <c r="Q307" s="1"/>
      <c r="R307" s="1"/>
    </row>
    <row r="308">
      <c r="L308" s="1"/>
      <c r="M308" s="1"/>
      <c r="N308" s="1"/>
      <c r="O308" s="1"/>
      <c r="P308" s="1"/>
      <c r="Q308" s="1"/>
      <c r="R308" s="1"/>
    </row>
    <row r="309">
      <c r="L309" s="1"/>
      <c r="M309" s="1"/>
      <c r="N309" s="1"/>
      <c r="O309" s="1"/>
      <c r="P309" s="1"/>
      <c r="Q309" s="1"/>
      <c r="R309" s="1"/>
    </row>
    <row r="310">
      <c r="L310" s="1"/>
      <c r="M310" s="1"/>
      <c r="N310" s="1"/>
      <c r="O310" s="1"/>
      <c r="P310" s="1"/>
      <c r="Q310" s="1"/>
      <c r="R310" s="1"/>
    </row>
    <row r="311">
      <c r="L311" s="1"/>
      <c r="M311" s="1"/>
      <c r="N311" s="1"/>
      <c r="O311" s="1"/>
      <c r="P311" s="1"/>
      <c r="Q311" s="1"/>
      <c r="R311" s="1"/>
    </row>
    <row r="312">
      <c r="L312" s="1"/>
      <c r="M312" s="1"/>
      <c r="N312" s="1"/>
      <c r="O312" s="1"/>
      <c r="P312" s="1"/>
      <c r="Q312" s="1"/>
      <c r="R312" s="1"/>
    </row>
    <row r="313">
      <c r="L313" s="1"/>
      <c r="M313" s="1"/>
      <c r="N313" s="1"/>
      <c r="O313" s="1"/>
      <c r="P313" s="1"/>
      <c r="Q313" s="1"/>
      <c r="R313" s="1"/>
    </row>
    <row r="314">
      <c r="L314" s="1"/>
      <c r="M314" s="1"/>
      <c r="N314" s="1"/>
      <c r="O314" s="1"/>
      <c r="P314" s="1"/>
      <c r="Q314" s="1"/>
      <c r="R314" s="1"/>
    </row>
    <row r="315">
      <c r="L315" s="1"/>
      <c r="M315" s="1"/>
      <c r="N315" s="1"/>
      <c r="O315" s="1"/>
      <c r="P315" s="1"/>
      <c r="Q315" s="1"/>
      <c r="R315" s="1"/>
    </row>
    <row r="316">
      <c r="L316" s="1"/>
      <c r="M316" s="1"/>
      <c r="N316" s="1"/>
      <c r="O316" s="1"/>
      <c r="P316" s="1"/>
      <c r="Q316" s="1"/>
      <c r="R316" s="1"/>
    </row>
    <row r="317">
      <c r="L317" s="1"/>
      <c r="M317" s="1"/>
      <c r="N317" s="1"/>
      <c r="O317" s="1"/>
      <c r="P317" s="1"/>
      <c r="Q317" s="1"/>
      <c r="R317" s="1"/>
    </row>
    <row r="318">
      <c r="L318" s="1"/>
      <c r="M318" s="1"/>
      <c r="N318" s="1"/>
      <c r="O318" s="1"/>
      <c r="P318" s="1"/>
      <c r="Q318" s="1"/>
      <c r="R318" s="1"/>
    </row>
    <row r="319">
      <c r="L319" s="1"/>
      <c r="M319" s="1"/>
      <c r="N319" s="1"/>
      <c r="O319" s="1"/>
      <c r="P319" s="1"/>
      <c r="Q319" s="1"/>
      <c r="R319" s="1"/>
    </row>
    <row r="320">
      <c r="L320" s="1"/>
      <c r="M320" s="1"/>
      <c r="N320" s="1"/>
      <c r="O320" s="1"/>
      <c r="P320" s="1"/>
      <c r="Q320" s="1"/>
      <c r="R320" s="1"/>
    </row>
    <row r="321">
      <c r="L321" s="1"/>
      <c r="M321" s="1"/>
      <c r="N321" s="1"/>
      <c r="O321" s="1"/>
      <c r="P321" s="1"/>
      <c r="Q321" s="1"/>
      <c r="R321" s="1"/>
    </row>
    <row r="322">
      <c r="L322" s="1"/>
      <c r="M322" s="1"/>
      <c r="N322" s="1"/>
      <c r="O322" s="1"/>
      <c r="P322" s="1"/>
      <c r="Q322" s="1"/>
      <c r="R322" s="1"/>
    </row>
    <row r="323">
      <c r="L323" s="1"/>
      <c r="M323" s="1"/>
      <c r="N323" s="1"/>
      <c r="O323" s="1"/>
      <c r="P323" s="1"/>
      <c r="Q323" s="1"/>
      <c r="R323" s="1"/>
    </row>
    <row r="324">
      <c r="L324" s="1"/>
      <c r="M324" s="1"/>
      <c r="N324" s="1"/>
      <c r="O324" s="1"/>
      <c r="P324" s="1"/>
      <c r="Q324" s="1"/>
      <c r="R324" s="1"/>
    </row>
    <row r="325">
      <c r="L325" s="1"/>
      <c r="M325" s="1"/>
      <c r="N325" s="1"/>
      <c r="O325" s="1"/>
      <c r="P325" s="1"/>
      <c r="Q325" s="1"/>
      <c r="R325" s="1"/>
    </row>
    <row r="326">
      <c r="L326" s="1"/>
      <c r="M326" s="1"/>
      <c r="N326" s="1"/>
      <c r="O326" s="1"/>
      <c r="P326" s="1"/>
      <c r="Q326" s="1"/>
      <c r="R326" s="1"/>
    </row>
    <row r="327">
      <c r="L327" s="1"/>
      <c r="M327" s="1"/>
      <c r="N327" s="1"/>
      <c r="O327" s="1"/>
      <c r="P327" s="1"/>
      <c r="Q327" s="1"/>
      <c r="R327" s="1"/>
    </row>
    <row r="328">
      <c r="L328" s="1"/>
      <c r="M328" s="1"/>
      <c r="N328" s="1"/>
      <c r="O328" s="1"/>
      <c r="P328" s="1"/>
      <c r="Q328" s="1"/>
      <c r="R328" s="1"/>
    </row>
    <row r="329">
      <c r="L329" s="1"/>
      <c r="M329" s="1"/>
      <c r="N329" s="1"/>
      <c r="O329" s="1"/>
      <c r="P329" s="1"/>
      <c r="Q329" s="1"/>
      <c r="R329" s="1"/>
    </row>
    <row r="330">
      <c r="L330" s="1"/>
      <c r="M330" s="1"/>
      <c r="N330" s="1"/>
      <c r="O330" s="1"/>
      <c r="P330" s="1"/>
      <c r="Q330" s="1"/>
      <c r="R330" s="1"/>
    </row>
    <row r="331">
      <c r="L331" s="1"/>
      <c r="M331" s="1"/>
      <c r="N331" s="1"/>
      <c r="O331" s="1"/>
      <c r="P331" s="1"/>
      <c r="Q331" s="1"/>
      <c r="R331" s="1"/>
    </row>
    <row r="332">
      <c r="L332" s="1"/>
      <c r="M332" s="1"/>
      <c r="N332" s="1"/>
      <c r="O332" s="1"/>
      <c r="P332" s="1"/>
      <c r="Q332" s="1"/>
      <c r="R332" s="1"/>
    </row>
    <row r="333">
      <c r="L333" s="1"/>
      <c r="M333" s="1"/>
      <c r="N333" s="1"/>
      <c r="O333" s="1"/>
      <c r="P333" s="1"/>
      <c r="Q333" s="1"/>
      <c r="R333" s="1"/>
    </row>
    <row r="334">
      <c r="L334" s="1"/>
      <c r="M334" s="1"/>
      <c r="N334" s="1"/>
      <c r="O334" s="1"/>
      <c r="P334" s="1"/>
      <c r="Q334" s="1"/>
      <c r="R334" s="1"/>
    </row>
    <row r="335">
      <c r="L335" s="1"/>
      <c r="M335" s="1"/>
      <c r="N335" s="1"/>
      <c r="O335" s="1"/>
      <c r="P335" s="1"/>
      <c r="Q335" s="1"/>
      <c r="R335" s="1"/>
    </row>
    <row r="336">
      <c r="L336" s="1"/>
      <c r="M336" s="1"/>
      <c r="N336" s="1"/>
      <c r="O336" s="1"/>
      <c r="P336" s="1"/>
      <c r="Q336" s="1"/>
      <c r="R336" s="1"/>
    </row>
    <row r="337">
      <c r="L337" s="1"/>
      <c r="M337" s="1"/>
      <c r="N337" s="1"/>
      <c r="O337" s="1"/>
      <c r="P337" s="1"/>
      <c r="Q337" s="1"/>
      <c r="R337" s="1"/>
    </row>
    <row r="338">
      <c r="L338" s="1"/>
      <c r="M338" s="1"/>
      <c r="N338" s="1"/>
      <c r="O338" s="1"/>
      <c r="P338" s="1"/>
      <c r="Q338" s="1"/>
      <c r="R338" s="1"/>
    </row>
    <row r="339">
      <c r="L339" s="1"/>
      <c r="M339" s="1"/>
      <c r="N339" s="1"/>
      <c r="O339" s="1"/>
      <c r="P339" s="1"/>
      <c r="Q339" s="1"/>
      <c r="R339" s="1"/>
    </row>
    <row r="340">
      <c r="L340" s="1"/>
      <c r="M340" s="1"/>
      <c r="N340" s="1"/>
      <c r="O340" s="1"/>
      <c r="P340" s="1"/>
      <c r="Q340" s="1"/>
      <c r="R340" s="1"/>
    </row>
    <row r="341">
      <c r="L341" s="1"/>
      <c r="M341" s="1"/>
      <c r="N341" s="1"/>
      <c r="O341" s="1"/>
      <c r="P341" s="1"/>
      <c r="Q341" s="1"/>
      <c r="R341" s="1"/>
    </row>
    <row r="342">
      <c r="L342" s="1"/>
      <c r="M342" s="1"/>
      <c r="N342" s="1"/>
      <c r="O342" s="1"/>
      <c r="P342" s="1"/>
      <c r="Q342" s="1"/>
      <c r="R342" s="1"/>
    </row>
    <row r="343">
      <c r="L343" s="1"/>
      <c r="M343" s="1"/>
      <c r="N343" s="1"/>
      <c r="O343" s="1"/>
      <c r="P343" s="1"/>
      <c r="Q343" s="1"/>
      <c r="R343" s="1"/>
    </row>
    <row r="344">
      <c r="L344" s="1"/>
      <c r="M344" s="1"/>
      <c r="N344" s="1"/>
      <c r="O344" s="1"/>
      <c r="P344" s="1"/>
      <c r="Q344" s="1"/>
      <c r="R344" s="1"/>
    </row>
    <row r="345">
      <c r="L345" s="1"/>
      <c r="M345" s="1"/>
      <c r="N345" s="1"/>
      <c r="O345" s="1"/>
      <c r="P345" s="1"/>
      <c r="Q345" s="1"/>
      <c r="R345" s="1"/>
    </row>
    <row r="346">
      <c r="L346" s="1"/>
      <c r="M346" s="1"/>
      <c r="N346" s="1"/>
      <c r="O346" s="1"/>
      <c r="P346" s="1"/>
      <c r="Q346" s="1"/>
      <c r="R346" s="1"/>
    </row>
    <row r="347">
      <c r="L347" s="1"/>
      <c r="M347" s="1"/>
      <c r="N347" s="1"/>
      <c r="O347" s="1"/>
      <c r="P347" s="1"/>
      <c r="Q347" s="1"/>
      <c r="R347" s="1"/>
    </row>
    <row r="348">
      <c r="L348" s="1"/>
      <c r="M348" s="1"/>
      <c r="N348" s="1"/>
      <c r="O348" s="1"/>
      <c r="P348" s="1"/>
      <c r="Q348" s="1"/>
      <c r="R348" s="1"/>
    </row>
    <row r="349">
      <c r="L349" s="1"/>
      <c r="M349" s="1"/>
      <c r="N349" s="1"/>
      <c r="O349" s="1"/>
      <c r="P349" s="1"/>
      <c r="Q349" s="1"/>
      <c r="R349" s="1"/>
    </row>
    <row r="350">
      <c r="L350" s="1"/>
      <c r="M350" s="1"/>
      <c r="N350" s="1"/>
      <c r="O350" s="1"/>
      <c r="P350" s="1"/>
      <c r="Q350" s="1"/>
      <c r="R350" s="1"/>
    </row>
    <row r="351">
      <c r="L351" s="1"/>
      <c r="M351" s="1"/>
      <c r="N351" s="1"/>
      <c r="O351" s="1"/>
      <c r="P351" s="1"/>
      <c r="Q351" s="1"/>
      <c r="R351" s="1"/>
    </row>
    <row r="352">
      <c r="L352" s="1"/>
      <c r="M352" s="1"/>
      <c r="N352" s="1"/>
      <c r="O352" s="1"/>
      <c r="P352" s="1"/>
      <c r="Q352" s="1"/>
      <c r="R352" s="1"/>
    </row>
    <row r="353">
      <c r="L353" s="1"/>
      <c r="M353" s="1"/>
      <c r="N353" s="1"/>
      <c r="O353" s="1"/>
      <c r="P353" s="1"/>
      <c r="Q353" s="1"/>
      <c r="R353" s="1"/>
    </row>
    <row r="354">
      <c r="L354" s="1"/>
      <c r="M354" s="1"/>
      <c r="N354" s="1"/>
      <c r="O354" s="1"/>
      <c r="P354" s="1"/>
      <c r="Q354" s="1"/>
      <c r="R354" s="1"/>
    </row>
    <row r="355">
      <c r="L355" s="1"/>
      <c r="M355" s="1"/>
      <c r="N355" s="1"/>
      <c r="O355" s="1"/>
      <c r="P355" s="1"/>
      <c r="Q355" s="1"/>
      <c r="R355" s="1"/>
    </row>
    <row r="356">
      <c r="L356" s="1"/>
      <c r="M356" s="1"/>
      <c r="N356" s="1"/>
      <c r="O356" s="1"/>
      <c r="P356" s="1"/>
      <c r="Q356" s="1"/>
      <c r="R356" s="1"/>
    </row>
    <row r="357">
      <c r="L357" s="1"/>
      <c r="M357" s="1"/>
      <c r="N357" s="1"/>
      <c r="O357" s="1"/>
      <c r="P357" s="1"/>
      <c r="Q357" s="1"/>
      <c r="R357" s="1"/>
    </row>
    <row r="358">
      <c r="L358" s="1"/>
      <c r="M358" s="1"/>
      <c r="N358" s="1"/>
      <c r="O358" s="1"/>
      <c r="P358" s="1"/>
      <c r="Q358" s="1"/>
      <c r="R358" s="1"/>
    </row>
    <row r="359">
      <c r="L359" s="1"/>
      <c r="M359" s="1"/>
      <c r="N359" s="1"/>
      <c r="O359" s="1"/>
      <c r="P359" s="1"/>
      <c r="Q359" s="1"/>
      <c r="R359" s="1"/>
    </row>
    <row r="360">
      <c r="L360" s="1"/>
      <c r="M360" s="1"/>
      <c r="N360" s="1"/>
      <c r="O360" s="1"/>
      <c r="P360" s="1"/>
      <c r="Q360" s="1"/>
      <c r="R360" s="1"/>
    </row>
    <row r="361">
      <c r="L361" s="1"/>
      <c r="M361" s="1"/>
      <c r="N361" s="1"/>
      <c r="O361" s="1"/>
      <c r="P361" s="1"/>
      <c r="Q361" s="1"/>
      <c r="R361" s="1"/>
    </row>
    <row r="362">
      <c r="L362" s="1"/>
      <c r="M362" s="1"/>
      <c r="N362" s="1"/>
      <c r="O362" s="1"/>
      <c r="P362" s="1"/>
      <c r="Q362" s="1"/>
      <c r="R362" s="1"/>
    </row>
    <row r="363">
      <c r="L363" s="1"/>
      <c r="M363" s="1"/>
      <c r="N363" s="1"/>
      <c r="O363" s="1"/>
      <c r="P363" s="1"/>
      <c r="Q363" s="1"/>
      <c r="R363" s="1"/>
    </row>
    <row r="364">
      <c r="L364" s="1"/>
      <c r="M364" s="1"/>
      <c r="N364" s="1"/>
      <c r="O364" s="1"/>
      <c r="P364" s="1"/>
      <c r="Q364" s="1"/>
      <c r="R364" s="1"/>
    </row>
    <row r="365">
      <c r="L365" s="1"/>
      <c r="M365" s="1"/>
      <c r="N365" s="1"/>
      <c r="O365" s="1"/>
      <c r="P365" s="1"/>
      <c r="Q365" s="1"/>
      <c r="R365" s="1"/>
    </row>
    <row r="366">
      <c r="L366" s="1"/>
      <c r="M366" s="1"/>
      <c r="N366" s="1"/>
      <c r="O366" s="1"/>
      <c r="P366" s="1"/>
      <c r="Q366" s="1"/>
      <c r="R366" s="1"/>
    </row>
    <row r="367">
      <c r="L367" s="1"/>
      <c r="M367" s="1"/>
      <c r="N367" s="1"/>
      <c r="O367" s="1"/>
      <c r="P367" s="1"/>
      <c r="Q367" s="1"/>
      <c r="R367" s="1"/>
    </row>
    <row r="368">
      <c r="L368" s="1"/>
      <c r="M368" s="1"/>
      <c r="N368" s="1"/>
      <c r="O368" s="1"/>
      <c r="P368" s="1"/>
      <c r="Q368" s="1"/>
      <c r="R368" s="1"/>
    </row>
    <row r="369">
      <c r="L369" s="1"/>
      <c r="M369" s="1"/>
      <c r="N369" s="1"/>
      <c r="O369" s="1"/>
      <c r="P369" s="1"/>
      <c r="Q369" s="1"/>
      <c r="R369" s="1"/>
    </row>
    <row r="370">
      <c r="L370" s="1"/>
      <c r="M370" s="1"/>
      <c r="N370" s="1"/>
      <c r="O370" s="1"/>
      <c r="P370" s="1"/>
      <c r="Q370" s="1"/>
      <c r="R370" s="1"/>
    </row>
    <row r="371">
      <c r="L371" s="1"/>
      <c r="M371" s="1"/>
      <c r="N371" s="1"/>
      <c r="O371" s="1"/>
      <c r="P371" s="1"/>
      <c r="Q371" s="1"/>
      <c r="R371" s="1"/>
    </row>
    <row r="372">
      <c r="L372" s="1"/>
      <c r="M372" s="1"/>
      <c r="N372" s="1"/>
      <c r="O372" s="1"/>
      <c r="P372" s="1"/>
      <c r="Q372" s="1"/>
      <c r="R372" s="1"/>
    </row>
    <row r="373">
      <c r="L373" s="1"/>
      <c r="M373" s="1"/>
      <c r="N373" s="1"/>
      <c r="O373" s="1"/>
      <c r="P373" s="1"/>
      <c r="Q373" s="1"/>
      <c r="R373" s="1"/>
    </row>
    <row r="374">
      <c r="L374" s="1"/>
      <c r="M374" s="1"/>
      <c r="N374" s="1"/>
      <c r="O374" s="1"/>
      <c r="P374" s="1"/>
      <c r="Q374" s="1"/>
      <c r="R374" s="1"/>
    </row>
    <row r="375">
      <c r="L375" s="1"/>
      <c r="M375" s="1"/>
      <c r="N375" s="1"/>
      <c r="O375" s="1"/>
      <c r="P375" s="1"/>
      <c r="Q375" s="1"/>
      <c r="R375" s="1"/>
    </row>
    <row r="376">
      <c r="L376" s="1"/>
      <c r="M376" s="1"/>
      <c r="N376" s="1"/>
      <c r="O376" s="1"/>
      <c r="P376" s="1"/>
      <c r="Q376" s="1"/>
      <c r="R376" s="1"/>
    </row>
    <row r="377">
      <c r="L377" s="1"/>
      <c r="M377" s="1"/>
      <c r="N377" s="1"/>
      <c r="O377" s="1"/>
      <c r="P377" s="1"/>
      <c r="Q377" s="1"/>
      <c r="R377" s="1"/>
    </row>
    <row r="378">
      <c r="L378" s="1"/>
      <c r="M378" s="1"/>
      <c r="N378" s="1"/>
      <c r="O378" s="1"/>
      <c r="P378" s="1"/>
      <c r="Q378" s="1"/>
      <c r="R378" s="1"/>
    </row>
    <row r="379">
      <c r="L379" s="1"/>
      <c r="M379" s="1"/>
      <c r="N379" s="1"/>
      <c r="O379" s="1"/>
      <c r="P379" s="1"/>
      <c r="Q379" s="1"/>
      <c r="R379" s="1"/>
    </row>
    <row r="380">
      <c r="L380" s="1"/>
      <c r="M380" s="1"/>
      <c r="N380" s="1"/>
      <c r="O380" s="1"/>
      <c r="P380" s="1"/>
      <c r="Q380" s="1"/>
      <c r="R380" s="1"/>
    </row>
    <row r="381">
      <c r="L381" s="1"/>
      <c r="M381" s="1"/>
      <c r="N381" s="1"/>
      <c r="O381" s="1"/>
      <c r="P381" s="1"/>
      <c r="Q381" s="1"/>
      <c r="R381" s="1"/>
    </row>
    <row r="382">
      <c r="L382" s="1"/>
      <c r="M382" s="1"/>
      <c r="N382" s="1"/>
      <c r="O382" s="1"/>
      <c r="P382" s="1"/>
      <c r="Q382" s="1"/>
      <c r="R382" s="1"/>
    </row>
    <row r="383">
      <c r="L383" s="1"/>
      <c r="M383" s="1"/>
      <c r="N383" s="1"/>
      <c r="O383" s="1"/>
      <c r="P383" s="1"/>
      <c r="Q383" s="1"/>
      <c r="R383" s="1"/>
    </row>
    <row r="384">
      <c r="L384" s="1"/>
      <c r="M384" s="1"/>
      <c r="N384" s="1"/>
      <c r="O384" s="1"/>
      <c r="P384" s="1"/>
      <c r="Q384" s="1"/>
      <c r="R384" s="1"/>
    </row>
    <row r="385">
      <c r="L385" s="1"/>
      <c r="M385" s="1"/>
      <c r="N385" s="1"/>
      <c r="O385" s="1"/>
      <c r="P385" s="1"/>
      <c r="Q385" s="1"/>
      <c r="R385" s="1"/>
    </row>
    <row r="386">
      <c r="L386" s="1"/>
      <c r="M386" s="1"/>
      <c r="N386" s="1"/>
      <c r="O386" s="1"/>
      <c r="P386" s="1"/>
      <c r="Q386" s="1"/>
      <c r="R386" s="1"/>
    </row>
    <row r="387">
      <c r="L387" s="1"/>
      <c r="M387" s="1"/>
      <c r="N387" s="1"/>
      <c r="O387" s="1"/>
      <c r="P387" s="1"/>
      <c r="Q387" s="1"/>
      <c r="R387" s="1"/>
    </row>
    <row r="388">
      <c r="L388" s="1"/>
      <c r="M388" s="1"/>
      <c r="N388" s="1"/>
      <c r="O388" s="1"/>
      <c r="P388" s="1"/>
      <c r="Q388" s="1"/>
      <c r="R388" s="1"/>
    </row>
    <row r="389">
      <c r="L389" s="1"/>
      <c r="M389" s="1"/>
      <c r="N389" s="1"/>
      <c r="O389" s="1"/>
      <c r="P389" s="1"/>
      <c r="Q389" s="1"/>
      <c r="R389" s="1"/>
    </row>
    <row r="390">
      <c r="L390" s="1"/>
      <c r="M390" s="1"/>
      <c r="N390" s="1"/>
      <c r="O390" s="1"/>
      <c r="P390" s="1"/>
      <c r="Q390" s="1"/>
      <c r="R390" s="1"/>
    </row>
    <row r="391">
      <c r="L391" s="1"/>
      <c r="M391" s="1"/>
      <c r="N391" s="1"/>
      <c r="O391" s="1"/>
      <c r="P391" s="1"/>
      <c r="Q391" s="1"/>
      <c r="R391" s="1"/>
    </row>
    <row r="392">
      <c r="L392" s="1"/>
      <c r="M392" s="1"/>
      <c r="N392" s="1"/>
      <c r="O392" s="1"/>
      <c r="P392" s="1"/>
      <c r="Q392" s="1"/>
      <c r="R392" s="1"/>
    </row>
    <row r="393">
      <c r="L393" s="1"/>
      <c r="M393" s="1"/>
      <c r="N393" s="1"/>
      <c r="O393" s="1"/>
      <c r="P393" s="1"/>
      <c r="Q393" s="1"/>
      <c r="R393" s="1"/>
    </row>
    <row r="394">
      <c r="L394" s="1"/>
      <c r="M394" s="1"/>
      <c r="N394" s="1"/>
      <c r="O394" s="1"/>
      <c r="P394" s="1"/>
      <c r="Q394" s="1"/>
      <c r="R394" s="1"/>
    </row>
    <row r="395">
      <c r="L395" s="1"/>
      <c r="M395" s="1"/>
      <c r="N395" s="1"/>
      <c r="O395" s="1"/>
      <c r="P395" s="1"/>
      <c r="Q395" s="1"/>
      <c r="R395" s="1"/>
    </row>
    <row r="396">
      <c r="L396" s="1"/>
      <c r="M396" s="1"/>
      <c r="N396" s="1"/>
      <c r="O396" s="1"/>
      <c r="P396" s="1"/>
      <c r="Q396" s="1"/>
      <c r="R396" s="1"/>
    </row>
    <row r="397">
      <c r="L397" s="1"/>
      <c r="M397" s="1"/>
      <c r="N397" s="1"/>
      <c r="O397" s="1"/>
      <c r="P397" s="1"/>
      <c r="Q397" s="1"/>
      <c r="R397" s="1"/>
    </row>
    <row r="398">
      <c r="L398" s="1"/>
      <c r="M398" s="1"/>
      <c r="N398" s="1"/>
      <c r="O398" s="1"/>
      <c r="P398" s="1"/>
      <c r="Q398" s="1"/>
      <c r="R398" s="1"/>
    </row>
    <row r="399">
      <c r="L399" s="1"/>
      <c r="M399" s="1"/>
      <c r="N399" s="1"/>
      <c r="O399" s="1"/>
      <c r="P399" s="1"/>
      <c r="Q399" s="1"/>
      <c r="R399" s="1"/>
    </row>
    <row r="400">
      <c r="L400" s="1"/>
      <c r="M400" s="1"/>
      <c r="N400" s="1"/>
      <c r="O400" s="1"/>
      <c r="P400" s="1"/>
      <c r="Q400" s="1"/>
      <c r="R400" s="1"/>
    </row>
    <row r="401">
      <c r="L401" s="1"/>
      <c r="M401" s="1"/>
      <c r="N401" s="1"/>
      <c r="O401" s="1"/>
      <c r="P401" s="1"/>
      <c r="Q401" s="1"/>
      <c r="R401" s="1"/>
    </row>
    <row r="402">
      <c r="L402" s="1"/>
      <c r="M402" s="1"/>
      <c r="N402" s="1"/>
      <c r="O402" s="1"/>
      <c r="P402" s="1"/>
      <c r="Q402" s="1"/>
      <c r="R402" s="1"/>
    </row>
    <row r="403">
      <c r="L403" s="1"/>
      <c r="M403" s="1"/>
      <c r="N403" s="1"/>
      <c r="O403" s="1"/>
      <c r="P403" s="1"/>
      <c r="Q403" s="1"/>
      <c r="R403" s="1"/>
    </row>
    <row r="404">
      <c r="L404" s="1"/>
      <c r="M404" s="1"/>
      <c r="N404" s="1"/>
      <c r="O404" s="1"/>
      <c r="P404" s="1"/>
      <c r="Q404" s="1"/>
      <c r="R404" s="1"/>
    </row>
    <row r="405">
      <c r="L405" s="1"/>
      <c r="M405" s="1"/>
      <c r="N405" s="1"/>
      <c r="O405" s="1"/>
      <c r="P405" s="1"/>
      <c r="Q405" s="1"/>
      <c r="R405" s="1"/>
    </row>
    <row r="406">
      <c r="L406" s="1"/>
      <c r="M406" s="1"/>
      <c r="N406" s="1"/>
      <c r="O406" s="1"/>
      <c r="P406" s="1"/>
      <c r="Q406" s="1"/>
      <c r="R406" s="1"/>
    </row>
    <row r="407">
      <c r="L407" s="1"/>
      <c r="M407" s="1"/>
      <c r="N407" s="1"/>
      <c r="O407" s="1"/>
      <c r="P407" s="1"/>
      <c r="Q407" s="1"/>
      <c r="R407" s="1"/>
    </row>
    <row r="408">
      <c r="L408" s="1"/>
      <c r="M408" s="1"/>
      <c r="N408" s="1"/>
      <c r="O408" s="1"/>
      <c r="P408" s="1"/>
      <c r="Q408" s="1"/>
      <c r="R408" s="1"/>
    </row>
    <row r="409">
      <c r="L409" s="1"/>
      <c r="M409" s="1"/>
      <c r="N409" s="1"/>
      <c r="O409" s="1"/>
      <c r="P409" s="1"/>
      <c r="Q409" s="1"/>
      <c r="R409" s="1"/>
    </row>
    <row r="410">
      <c r="L410" s="1"/>
      <c r="M410" s="1"/>
      <c r="N410" s="1"/>
      <c r="O410" s="1"/>
      <c r="P410" s="1"/>
      <c r="Q410" s="1"/>
      <c r="R410" s="1"/>
    </row>
    <row r="411">
      <c r="L411" s="1"/>
      <c r="M411" s="1"/>
      <c r="N411" s="1"/>
      <c r="O411" s="1"/>
      <c r="P411" s="1"/>
      <c r="Q411" s="1"/>
      <c r="R411" s="1"/>
    </row>
    <row r="412">
      <c r="L412" s="1"/>
      <c r="M412" s="1"/>
      <c r="N412" s="1"/>
      <c r="O412" s="1"/>
      <c r="P412" s="1"/>
      <c r="Q412" s="1"/>
      <c r="R412" s="1"/>
    </row>
    <row r="413">
      <c r="L413" s="1"/>
      <c r="M413" s="1"/>
      <c r="N413" s="1"/>
      <c r="O413" s="1"/>
      <c r="P413" s="1"/>
      <c r="Q413" s="1"/>
      <c r="R413" s="1"/>
    </row>
    <row r="414">
      <c r="L414" s="1"/>
      <c r="M414" s="1"/>
      <c r="N414" s="1"/>
      <c r="O414" s="1"/>
      <c r="P414" s="1"/>
      <c r="Q414" s="1"/>
      <c r="R414" s="1"/>
    </row>
    <row r="415">
      <c r="L415" s="1"/>
      <c r="M415" s="1"/>
      <c r="N415" s="1"/>
      <c r="O415" s="1"/>
      <c r="P415" s="1"/>
      <c r="Q415" s="1"/>
      <c r="R415" s="1"/>
    </row>
    <row r="416">
      <c r="L416" s="1"/>
      <c r="M416" s="1"/>
      <c r="N416" s="1"/>
      <c r="O416" s="1"/>
      <c r="P416" s="1"/>
      <c r="Q416" s="1"/>
      <c r="R416" s="1"/>
    </row>
    <row r="417">
      <c r="L417" s="1"/>
      <c r="M417" s="1"/>
      <c r="N417" s="1"/>
      <c r="O417" s="1"/>
      <c r="P417" s="1"/>
      <c r="Q417" s="1"/>
      <c r="R417" s="1"/>
    </row>
    <row r="418">
      <c r="L418" s="1"/>
      <c r="M418" s="1"/>
      <c r="N418" s="1"/>
      <c r="O418" s="1"/>
      <c r="P418" s="1"/>
      <c r="Q418" s="1"/>
      <c r="R418" s="1"/>
    </row>
    <row r="419">
      <c r="L419" s="1"/>
      <c r="M419" s="1"/>
      <c r="N419" s="1"/>
      <c r="O419" s="1"/>
      <c r="P419" s="1"/>
      <c r="Q419" s="1"/>
      <c r="R419" s="1"/>
    </row>
    <row r="420">
      <c r="L420" s="1"/>
      <c r="M420" s="1"/>
      <c r="N420" s="1"/>
      <c r="O420" s="1"/>
      <c r="P420" s="1"/>
      <c r="Q420" s="1"/>
      <c r="R420" s="1"/>
    </row>
    <row r="421">
      <c r="L421" s="1"/>
      <c r="M421" s="1"/>
      <c r="N421" s="1"/>
      <c r="O421" s="1"/>
      <c r="P421" s="1"/>
      <c r="Q421" s="1"/>
      <c r="R421" s="1"/>
    </row>
    <row r="422">
      <c r="L422" s="1"/>
      <c r="M422" s="1"/>
      <c r="N422" s="1"/>
      <c r="O422" s="1"/>
      <c r="P422" s="1"/>
      <c r="Q422" s="1"/>
      <c r="R422" s="1"/>
    </row>
    <row r="423">
      <c r="L423" s="1"/>
      <c r="M423" s="1"/>
      <c r="N423" s="1"/>
      <c r="O423" s="1"/>
      <c r="P423" s="1"/>
      <c r="Q423" s="1"/>
      <c r="R423" s="1"/>
    </row>
    <row r="424">
      <c r="L424" s="1"/>
      <c r="M424" s="1"/>
      <c r="N424" s="1"/>
      <c r="O424" s="1"/>
      <c r="P424" s="1"/>
      <c r="Q424" s="1"/>
      <c r="R424" s="1"/>
    </row>
    <row r="425">
      <c r="L425" s="1"/>
      <c r="M425" s="1"/>
      <c r="N425" s="1"/>
      <c r="O425" s="1"/>
      <c r="P425" s="1"/>
      <c r="Q425" s="1"/>
      <c r="R425" s="1"/>
    </row>
    <row r="426">
      <c r="L426" s="1"/>
      <c r="M426" s="1"/>
      <c r="N426" s="1"/>
      <c r="O426" s="1"/>
      <c r="P426" s="1"/>
      <c r="Q426" s="1"/>
      <c r="R426" s="1"/>
    </row>
    <row r="427">
      <c r="L427" s="1"/>
      <c r="M427" s="1"/>
      <c r="N427" s="1"/>
      <c r="O427" s="1"/>
      <c r="P427" s="1"/>
      <c r="Q427" s="1"/>
      <c r="R427" s="1"/>
    </row>
    <row r="428">
      <c r="L428" s="1"/>
      <c r="M428" s="1"/>
      <c r="N428" s="1"/>
      <c r="O428" s="1"/>
      <c r="P428" s="1"/>
      <c r="Q428" s="1"/>
      <c r="R428" s="1"/>
    </row>
    <row r="429">
      <c r="L429" s="1"/>
      <c r="M429" s="1"/>
      <c r="N429" s="1"/>
      <c r="O429" s="1"/>
      <c r="P429" s="1"/>
      <c r="Q429" s="1"/>
      <c r="R429" s="1"/>
    </row>
    <row r="430">
      <c r="L430" s="1"/>
      <c r="M430" s="1"/>
      <c r="N430" s="1"/>
      <c r="O430" s="1"/>
      <c r="P430" s="1"/>
      <c r="Q430" s="1"/>
      <c r="R430" s="1"/>
    </row>
    <row r="431">
      <c r="L431" s="1"/>
      <c r="M431" s="1"/>
      <c r="N431" s="1"/>
      <c r="O431" s="1"/>
      <c r="P431" s="1"/>
      <c r="Q431" s="1"/>
      <c r="R431" s="1"/>
    </row>
    <row r="432">
      <c r="L432" s="1"/>
      <c r="M432" s="1"/>
      <c r="N432" s="1"/>
      <c r="O432" s="1"/>
      <c r="P432" s="1"/>
      <c r="Q432" s="1"/>
      <c r="R432" s="1"/>
    </row>
    <row r="433">
      <c r="L433" s="1"/>
      <c r="M433" s="1"/>
      <c r="N433" s="1"/>
      <c r="O433" s="1"/>
      <c r="P433" s="1"/>
      <c r="Q433" s="1"/>
      <c r="R433" s="1"/>
    </row>
    <row r="434">
      <c r="L434" s="1"/>
      <c r="M434" s="1"/>
      <c r="N434" s="1"/>
      <c r="O434" s="1"/>
      <c r="P434" s="1"/>
      <c r="Q434" s="1"/>
      <c r="R434" s="1"/>
    </row>
    <row r="435">
      <c r="L435" s="1"/>
      <c r="M435" s="1"/>
      <c r="N435" s="1"/>
      <c r="O435" s="1"/>
      <c r="P435" s="1"/>
      <c r="Q435" s="1"/>
      <c r="R435" s="1"/>
    </row>
    <row r="436">
      <c r="L436" s="1"/>
      <c r="M436" s="1"/>
      <c r="N436" s="1"/>
      <c r="O436" s="1"/>
      <c r="P436" s="1"/>
      <c r="Q436" s="1"/>
      <c r="R436" s="1"/>
    </row>
    <row r="437">
      <c r="L437" s="1"/>
      <c r="M437" s="1"/>
      <c r="N437" s="1"/>
      <c r="O437" s="1"/>
      <c r="P437" s="1"/>
      <c r="Q437" s="1"/>
      <c r="R437" s="1"/>
    </row>
    <row r="438">
      <c r="L438" s="1"/>
      <c r="M438" s="1"/>
      <c r="N438" s="1"/>
      <c r="O438" s="1"/>
      <c r="P438" s="1"/>
      <c r="Q438" s="1"/>
      <c r="R438" s="1"/>
    </row>
    <row r="439">
      <c r="L439" s="1"/>
      <c r="M439" s="1"/>
      <c r="N439" s="1"/>
      <c r="O439" s="1"/>
      <c r="P439" s="1"/>
      <c r="Q439" s="1"/>
      <c r="R439" s="1"/>
    </row>
    <row r="440">
      <c r="L440" s="1"/>
      <c r="M440" s="1"/>
      <c r="N440" s="1"/>
      <c r="O440" s="1"/>
      <c r="P440" s="1"/>
      <c r="Q440" s="1"/>
      <c r="R440" s="1"/>
    </row>
    <row r="441">
      <c r="L441" s="1"/>
      <c r="M441" s="1"/>
      <c r="N441" s="1"/>
      <c r="O441" s="1"/>
      <c r="P441" s="1"/>
      <c r="Q441" s="1"/>
      <c r="R441" s="1"/>
    </row>
    <row r="442">
      <c r="L442" s="1"/>
      <c r="M442" s="1"/>
      <c r="N442" s="1"/>
      <c r="O442" s="1"/>
      <c r="P442" s="1"/>
      <c r="Q442" s="1"/>
      <c r="R442" s="1"/>
    </row>
    <row r="443">
      <c r="L443" s="1"/>
      <c r="M443" s="1"/>
      <c r="N443" s="1"/>
      <c r="O443" s="1"/>
      <c r="P443" s="1"/>
      <c r="Q443" s="1"/>
      <c r="R443" s="1"/>
    </row>
    <row r="444">
      <c r="L444" s="1"/>
      <c r="M444" s="1"/>
      <c r="N444" s="1"/>
      <c r="O444" s="1"/>
      <c r="P444" s="1"/>
      <c r="Q444" s="1"/>
      <c r="R444" s="1"/>
    </row>
    <row r="445">
      <c r="L445" s="1"/>
      <c r="M445" s="1"/>
      <c r="N445" s="1"/>
      <c r="O445" s="1"/>
      <c r="P445" s="1"/>
      <c r="Q445" s="1"/>
      <c r="R445" s="1"/>
    </row>
    <row r="446">
      <c r="L446" s="1"/>
      <c r="M446" s="1"/>
      <c r="N446" s="1"/>
      <c r="O446" s="1"/>
      <c r="P446" s="1"/>
      <c r="Q446" s="1"/>
      <c r="R446" s="1"/>
    </row>
    <row r="447">
      <c r="L447" s="1"/>
      <c r="M447" s="1"/>
      <c r="N447" s="1"/>
      <c r="O447" s="1"/>
      <c r="P447" s="1"/>
      <c r="Q447" s="1"/>
      <c r="R447" s="1"/>
    </row>
    <row r="448">
      <c r="L448" s="1"/>
      <c r="M448" s="1"/>
      <c r="N448" s="1"/>
      <c r="O448" s="1"/>
      <c r="P448" s="1"/>
      <c r="Q448" s="1"/>
      <c r="R448" s="1"/>
    </row>
    <row r="449">
      <c r="L449" s="1"/>
      <c r="M449" s="1"/>
      <c r="N449" s="1"/>
      <c r="O449" s="1"/>
      <c r="P449" s="1"/>
      <c r="Q449" s="1"/>
      <c r="R449" s="1"/>
    </row>
    <row r="450">
      <c r="L450" s="1"/>
      <c r="M450" s="1"/>
      <c r="N450" s="1"/>
      <c r="O450" s="1"/>
      <c r="P450" s="1"/>
      <c r="Q450" s="1"/>
      <c r="R450" s="1"/>
    </row>
    <row r="451">
      <c r="L451" s="1"/>
      <c r="M451" s="1"/>
      <c r="N451" s="1"/>
      <c r="O451" s="1"/>
      <c r="P451" s="1"/>
      <c r="Q451" s="1"/>
      <c r="R451" s="1"/>
    </row>
    <row r="452">
      <c r="L452" s="1"/>
      <c r="M452" s="1"/>
      <c r="N452" s="1"/>
      <c r="O452" s="1"/>
      <c r="P452" s="1"/>
      <c r="Q452" s="1"/>
      <c r="R452" s="1"/>
    </row>
    <row r="453">
      <c r="L453" s="1"/>
      <c r="M453" s="1"/>
      <c r="N453" s="1"/>
      <c r="O453" s="1"/>
      <c r="P453" s="1"/>
      <c r="Q453" s="1"/>
      <c r="R453" s="1"/>
    </row>
    <row r="454">
      <c r="L454" s="1"/>
      <c r="M454" s="1"/>
      <c r="N454" s="1"/>
      <c r="O454" s="1"/>
      <c r="P454" s="1"/>
      <c r="Q454" s="1"/>
      <c r="R454" s="1"/>
    </row>
    <row r="455">
      <c r="L455" s="1"/>
      <c r="M455" s="1"/>
      <c r="N455" s="1"/>
      <c r="O455" s="1"/>
      <c r="P455" s="1"/>
      <c r="Q455" s="1"/>
      <c r="R455" s="1"/>
    </row>
    <row r="456">
      <c r="L456" s="1"/>
      <c r="M456" s="1"/>
      <c r="N456" s="1"/>
      <c r="O456" s="1"/>
      <c r="P456" s="1"/>
      <c r="Q456" s="1"/>
      <c r="R456" s="1"/>
    </row>
    <row r="457">
      <c r="L457" s="1"/>
      <c r="M457" s="1"/>
      <c r="N457" s="1"/>
      <c r="O457" s="1"/>
      <c r="P457" s="1"/>
      <c r="Q457" s="1"/>
      <c r="R457" s="1"/>
    </row>
    <row r="458">
      <c r="L458" s="1"/>
      <c r="M458" s="1"/>
      <c r="N458" s="1"/>
      <c r="O458" s="1"/>
      <c r="P458" s="1"/>
      <c r="Q458" s="1"/>
      <c r="R458" s="1"/>
    </row>
    <row r="459">
      <c r="L459" s="1"/>
      <c r="M459" s="1"/>
      <c r="N459" s="1"/>
      <c r="O459" s="1"/>
      <c r="P459" s="1"/>
      <c r="Q459" s="1"/>
      <c r="R459" s="1"/>
    </row>
    <row r="460">
      <c r="L460" s="1"/>
      <c r="M460" s="1"/>
      <c r="N460" s="1"/>
      <c r="O460" s="1"/>
      <c r="P460" s="1"/>
      <c r="Q460" s="1"/>
      <c r="R460" s="1"/>
    </row>
    <row r="461">
      <c r="L461" s="1"/>
      <c r="M461" s="1"/>
      <c r="N461" s="1"/>
      <c r="O461" s="1"/>
      <c r="P461" s="1"/>
      <c r="Q461" s="1"/>
      <c r="R461" s="1"/>
    </row>
    <row r="462">
      <c r="L462" s="1"/>
      <c r="M462" s="1"/>
      <c r="N462" s="1"/>
      <c r="O462" s="1"/>
      <c r="P462" s="1"/>
      <c r="Q462" s="1"/>
      <c r="R462" s="1"/>
    </row>
    <row r="463">
      <c r="L463" s="1"/>
      <c r="M463" s="1"/>
      <c r="N463" s="1"/>
      <c r="O463" s="1"/>
      <c r="P463" s="1"/>
      <c r="Q463" s="1"/>
      <c r="R463" s="1"/>
    </row>
    <row r="464">
      <c r="L464" s="1"/>
      <c r="M464" s="1"/>
      <c r="N464" s="1"/>
      <c r="O464" s="1"/>
      <c r="P464" s="1"/>
      <c r="Q464" s="1"/>
      <c r="R464" s="1"/>
    </row>
    <row r="465">
      <c r="L465" s="1"/>
      <c r="M465" s="1"/>
      <c r="N465" s="1"/>
      <c r="O465" s="1"/>
      <c r="P465" s="1"/>
      <c r="Q465" s="1"/>
      <c r="R465" s="1"/>
    </row>
    <row r="466">
      <c r="L466" s="1"/>
      <c r="M466" s="1"/>
      <c r="N466" s="1"/>
      <c r="O466" s="1"/>
      <c r="P466" s="1"/>
      <c r="Q466" s="1"/>
      <c r="R466" s="1"/>
    </row>
    <row r="467">
      <c r="L467" s="1"/>
      <c r="M467" s="1"/>
      <c r="N467" s="1"/>
      <c r="O467" s="1"/>
      <c r="P467" s="1"/>
      <c r="Q467" s="1"/>
      <c r="R467" s="1"/>
    </row>
    <row r="468">
      <c r="L468" s="1"/>
      <c r="M468" s="1"/>
      <c r="N468" s="1"/>
      <c r="O468" s="1"/>
      <c r="P468" s="1"/>
      <c r="Q468" s="1"/>
      <c r="R468" s="1"/>
    </row>
    <row r="469">
      <c r="L469" s="1"/>
      <c r="M469" s="1"/>
      <c r="N469" s="1"/>
      <c r="O469" s="1"/>
      <c r="P469" s="1"/>
      <c r="Q469" s="1"/>
      <c r="R469" s="1"/>
    </row>
    <row r="470">
      <c r="L470" s="1"/>
      <c r="M470" s="1"/>
      <c r="N470" s="1"/>
      <c r="O470" s="1"/>
      <c r="P470" s="1"/>
      <c r="Q470" s="1"/>
      <c r="R470" s="1"/>
    </row>
    <row r="471">
      <c r="L471" s="1"/>
      <c r="M471" s="1"/>
      <c r="N471" s="1"/>
      <c r="O471" s="1"/>
      <c r="P471" s="1"/>
      <c r="Q471" s="1"/>
      <c r="R471" s="1"/>
    </row>
    <row r="472">
      <c r="L472" s="1"/>
      <c r="M472" s="1"/>
      <c r="N472" s="1"/>
      <c r="O472" s="1"/>
      <c r="P472" s="1"/>
      <c r="Q472" s="1"/>
      <c r="R472" s="1"/>
    </row>
    <row r="473">
      <c r="L473" s="1"/>
      <c r="M473" s="1"/>
      <c r="N473" s="1"/>
      <c r="O473" s="1"/>
      <c r="P473" s="1"/>
      <c r="Q473" s="1"/>
      <c r="R473" s="1"/>
    </row>
    <row r="474">
      <c r="L474" s="1"/>
      <c r="M474" s="1"/>
      <c r="N474" s="1"/>
      <c r="O474" s="1"/>
      <c r="P474" s="1"/>
      <c r="Q474" s="1"/>
      <c r="R474" s="1"/>
    </row>
    <row r="475">
      <c r="L475" s="1"/>
      <c r="M475" s="1"/>
      <c r="N475" s="1"/>
      <c r="O475" s="1"/>
      <c r="P475" s="1"/>
      <c r="Q475" s="1"/>
      <c r="R475" s="1"/>
    </row>
    <row r="476">
      <c r="L476" s="1"/>
      <c r="M476" s="1"/>
      <c r="N476" s="1"/>
      <c r="O476" s="1"/>
      <c r="P476" s="1"/>
      <c r="Q476" s="1"/>
      <c r="R476" s="1"/>
    </row>
    <row r="477">
      <c r="L477" s="1"/>
      <c r="M477" s="1"/>
      <c r="N477" s="1"/>
      <c r="O477" s="1"/>
      <c r="P477" s="1"/>
      <c r="Q477" s="1"/>
      <c r="R477" s="1"/>
    </row>
    <row r="478">
      <c r="L478" s="1"/>
      <c r="M478" s="1"/>
      <c r="N478" s="1"/>
      <c r="O478" s="1"/>
      <c r="P478" s="1"/>
      <c r="Q478" s="1"/>
      <c r="R478" s="1"/>
    </row>
    <row r="479">
      <c r="L479" s="1"/>
      <c r="M479" s="1"/>
      <c r="N479" s="1"/>
      <c r="O479" s="1"/>
      <c r="P479" s="1"/>
      <c r="Q479" s="1"/>
      <c r="R479" s="1"/>
    </row>
    <row r="480">
      <c r="L480" s="1"/>
      <c r="M480" s="1"/>
      <c r="N480" s="1"/>
      <c r="O480" s="1"/>
      <c r="P480" s="1"/>
      <c r="Q480" s="1"/>
      <c r="R480" s="1"/>
    </row>
    <row r="481">
      <c r="L481" s="1"/>
      <c r="M481" s="1"/>
      <c r="N481" s="1"/>
      <c r="O481" s="1"/>
      <c r="P481" s="1"/>
      <c r="Q481" s="1"/>
      <c r="R481" s="1"/>
    </row>
    <row r="482">
      <c r="L482" s="1"/>
      <c r="M482" s="1"/>
      <c r="N482" s="1"/>
      <c r="O482" s="1"/>
      <c r="P482" s="1"/>
      <c r="Q482" s="1"/>
      <c r="R482" s="1"/>
    </row>
    <row r="483">
      <c r="L483" s="1"/>
      <c r="M483" s="1"/>
      <c r="N483" s="1"/>
      <c r="O483" s="1"/>
      <c r="P483" s="1"/>
      <c r="Q483" s="1"/>
      <c r="R483" s="1"/>
    </row>
    <row r="484">
      <c r="L484" s="1"/>
      <c r="M484" s="1"/>
      <c r="N484" s="1"/>
      <c r="O484" s="1"/>
      <c r="P484" s="1"/>
      <c r="Q484" s="1"/>
      <c r="R484" s="1"/>
    </row>
    <row r="485">
      <c r="L485" s="1"/>
      <c r="M485" s="1"/>
      <c r="N485" s="1"/>
      <c r="O485" s="1"/>
      <c r="P485" s="1"/>
      <c r="Q485" s="1"/>
      <c r="R485" s="1"/>
    </row>
    <row r="486">
      <c r="L486" s="1"/>
      <c r="M486" s="1"/>
      <c r="N486" s="1"/>
      <c r="O486" s="1"/>
      <c r="P486" s="1"/>
      <c r="Q486" s="1"/>
      <c r="R486" s="1"/>
    </row>
    <row r="487">
      <c r="L487" s="1"/>
      <c r="M487" s="1"/>
      <c r="N487" s="1"/>
      <c r="O487" s="1"/>
      <c r="P487" s="1"/>
      <c r="Q487" s="1"/>
      <c r="R487" s="1"/>
    </row>
    <row r="488">
      <c r="L488" s="1"/>
      <c r="M488" s="1"/>
      <c r="N488" s="1"/>
      <c r="O488" s="1"/>
      <c r="P488" s="1"/>
      <c r="Q488" s="1"/>
      <c r="R488" s="1"/>
    </row>
    <row r="489">
      <c r="L489" s="1"/>
      <c r="M489" s="1"/>
      <c r="N489" s="1"/>
      <c r="O489" s="1"/>
      <c r="P489" s="1"/>
      <c r="Q489" s="1"/>
      <c r="R489" s="1"/>
    </row>
    <row r="490">
      <c r="L490" s="1"/>
      <c r="M490" s="1"/>
      <c r="N490" s="1"/>
      <c r="O490" s="1"/>
      <c r="P490" s="1"/>
      <c r="Q490" s="1"/>
      <c r="R490" s="1"/>
    </row>
    <row r="491">
      <c r="L491" s="1"/>
      <c r="M491" s="1"/>
      <c r="N491" s="1"/>
      <c r="O491" s="1"/>
      <c r="P491" s="1"/>
      <c r="Q491" s="1"/>
      <c r="R491" s="1"/>
    </row>
    <row r="492">
      <c r="L492" s="1"/>
      <c r="M492" s="1"/>
      <c r="N492" s="1"/>
      <c r="O492" s="1"/>
      <c r="P492" s="1"/>
      <c r="Q492" s="1"/>
      <c r="R492" s="1"/>
    </row>
    <row r="493">
      <c r="L493" s="1"/>
      <c r="M493" s="1"/>
      <c r="N493" s="1"/>
      <c r="O493" s="1"/>
      <c r="P493" s="1"/>
      <c r="Q493" s="1"/>
      <c r="R493" s="1"/>
    </row>
    <row r="494">
      <c r="L494" s="1"/>
      <c r="M494" s="1"/>
      <c r="N494" s="1"/>
      <c r="O494" s="1"/>
      <c r="P494" s="1"/>
      <c r="Q494" s="1"/>
      <c r="R494" s="1"/>
    </row>
    <row r="495">
      <c r="L495" s="1"/>
      <c r="M495" s="1"/>
      <c r="N495" s="1"/>
      <c r="O495" s="1"/>
      <c r="P495" s="1"/>
      <c r="Q495" s="1"/>
      <c r="R495" s="1"/>
    </row>
    <row r="496">
      <c r="L496" s="1"/>
      <c r="M496" s="1"/>
      <c r="N496" s="1"/>
      <c r="O496" s="1"/>
      <c r="P496" s="1"/>
      <c r="Q496" s="1"/>
      <c r="R496" s="1"/>
    </row>
    <row r="497">
      <c r="L497" s="1"/>
      <c r="M497" s="1"/>
      <c r="N497" s="1"/>
      <c r="O497" s="1"/>
      <c r="P497" s="1"/>
      <c r="Q497" s="1"/>
      <c r="R497" s="1"/>
    </row>
    <row r="498">
      <c r="L498" s="1"/>
      <c r="M498" s="1"/>
      <c r="N498" s="1"/>
      <c r="O498" s="1"/>
      <c r="P498" s="1"/>
      <c r="Q498" s="1"/>
      <c r="R498" s="1"/>
    </row>
    <row r="499">
      <c r="L499" s="1"/>
      <c r="M499" s="1"/>
      <c r="N499" s="1"/>
      <c r="O499" s="1"/>
      <c r="P499" s="1"/>
      <c r="Q499" s="1"/>
      <c r="R499" s="1"/>
    </row>
    <row r="500">
      <c r="L500" s="1"/>
      <c r="M500" s="1"/>
      <c r="N500" s="1"/>
      <c r="O500" s="1"/>
      <c r="P500" s="1"/>
      <c r="Q500" s="1"/>
      <c r="R500" s="1"/>
    </row>
    <row r="501">
      <c r="L501" s="1"/>
      <c r="M501" s="1"/>
      <c r="N501" s="1"/>
      <c r="O501" s="1"/>
      <c r="P501" s="1"/>
      <c r="Q501" s="1"/>
      <c r="R501" s="1"/>
    </row>
    <row r="502">
      <c r="L502" s="1"/>
      <c r="M502" s="1"/>
      <c r="N502" s="1"/>
      <c r="O502" s="1"/>
      <c r="P502" s="1"/>
      <c r="Q502" s="1"/>
      <c r="R502" s="1"/>
    </row>
    <row r="503">
      <c r="L503" s="1"/>
      <c r="M503" s="1"/>
      <c r="N503" s="1"/>
      <c r="O503" s="1"/>
      <c r="P503" s="1"/>
      <c r="Q503" s="1"/>
      <c r="R503" s="1"/>
    </row>
    <row r="504">
      <c r="L504" s="1"/>
      <c r="M504" s="1"/>
      <c r="N504" s="1"/>
      <c r="O504" s="1"/>
      <c r="P504" s="1"/>
      <c r="Q504" s="1"/>
      <c r="R504" s="1"/>
    </row>
    <row r="505">
      <c r="L505" s="1"/>
      <c r="M505" s="1"/>
      <c r="N505" s="1"/>
      <c r="O505" s="1"/>
      <c r="P505" s="1"/>
      <c r="Q505" s="1"/>
      <c r="R505" s="1"/>
    </row>
    <row r="506">
      <c r="L506" s="1"/>
      <c r="M506" s="1"/>
      <c r="N506" s="1"/>
      <c r="O506" s="1"/>
      <c r="P506" s="1"/>
      <c r="Q506" s="1"/>
      <c r="R506" s="1"/>
    </row>
    <row r="507">
      <c r="L507" s="1"/>
      <c r="M507" s="1"/>
      <c r="N507" s="1"/>
      <c r="O507" s="1"/>
      <c r="P507" s="1"/>
      <c r="Q507" s="1"/>
      <c r="R507" s="1"/>
    </row>
    <row r="508">
      <c r="L508" s="1"/>
      <c r="M508" s="1"/>
      <c r="N508" s="1"/>
      <c r="O508" s="1"/>
      <c r="P508" s="1"/>
      <c r="Q508" s="1"/>
      <c r="R508" s="1"/>
    </row>
    <row r="509">
      <c r="L509" s="1"/>
      <c r="M509" s="1"/>
      <c r="N509" s="1"/>
      <c r="O509" s="1"/>
      <c r="P509" s="1"/>
      <c r="Q509" s="1"/>
      <c r="R509" s="1"/>
    </row>
    <row r="510">
      <c r="L510" s="1"/>
      <c r="M510" s="1"/>
      <c r="N510" s="1"/>
      <c r="O510" s="1"/>
      <c r="P510" s="1"/>
      <c r="Q510" s="1"/>
      <c r="R510" s="1"/>
    </row>
    <row r="511">
      <c r="L511" s="1"/>
      <c r="M511" s="1"/>
      <c r="N511" s="1"/>
      <c r="O511" s="1"/>
      <c r="P511" s="1"/>
      <c r="Q511" s="1"/>
      <c r="R511" s="1"/>
    </row>
    <row r="512">
      <c r="L512" s="1"/>
      <c r="M512" s="1"/>
      <c r="N512" s="1"/>
      <c r="O512" s="1"/>
      <c r="P512" s="1"/>
      <c r="Q512" s="1"/>
      <c r="R512" s="1"/>
    </row>
    <row r="513">
      <c r="L513" s="1"/>
      <c r="M513" s="1"/>
      <c r="N513" s="1"/>
      <c r="O513" s="1"/>
      <c r="P513" s="1"/>
      <c r="Q513" s="1"/>
      <c r="R513" s="1"/>
    </row>
    <row r="514">
      <c r="L514" s="1"/>
      <c r="M514" s="1"/>
      <c r="N514" s="1"/>
      <c r="O514" s="1"/>
      <c r="P514" s="1"/>
      <c r="Q514" s="1"/>
      <c r="R514" s="1"/>
    </row>
    <row r="515">
      <c r="L515" s="1"/>
      <c r="M515" s="1"/>
      <c r="N515" s="1"/>
      <c r="O515" s="1"/>
      <c r="P515" s="1"/>
      <c r="Q515" s="1"/>
      <c r="R515" s="1"/>
    </row>
    <row r="516">
      <c r="L516" s="1"/>
      <c r="M516" s="1"/>
      <c r="N516" s="1"/>
      <c r="O516" s="1"/>
      <c r="P516" s="1"/>
      <c r="Q516" s="1"/>
      <c r="R516" s="1"/>
    </row>
    <row r="517">
      <c r="L517" s="1"/>
      <c r="M517" s="1"/>
      <c r="N517" s="1"/>
      <c r="O517" s="1"/>
      <c r="P517" s="1"/>
      <c r="Q517" s="1"/>
      <c r="R517" s="1"/>
    </row>
    <row r="518">
      <c r="L518" s="1"/>
      <c r="M518" s="1"/>
      <c r="N518" s="1"/>
      <c r="O518" s="1"/>
      <c r="P518" s="1"/>
      <c r="Q518" s="1"/>
      <c r="R518" s="1"/>
    </row>
    <row r="519">
      <c r="L519" s="1"/>
      <c r="M519" s="1"/>
      <c r="N519" s="1"/>
      <c r="O519" s="1"/>
      <c r="P519" s="1"/>
      <c r="Q519" s="1"/>
      <c r="R519" s="1"/>
    </row>
    <row r="520">
      <c r="L520" s="1"/>
      <c r="M520" s="1"/>
      <c r="N520" s="1"/>
      <c r="O520" s="1"/>
      <c r="P520" s="1"/>
      <c r="Q520" s="1"/>
      <c r="R520" s="1"/>
    </row>
    <row r="521">
      <c r="L521" s="1"/>
      <c r="M521" s="1"/>
      <c r="N521" s="1"/>
      <c r="O521" s="1"/>
      <c r="P521" s="1"/>
      <c r="Q521" s="1"/>
      <c r="R521" s="1"/>
    </row>
    <row r="522">
      <c r="L522" s="1"/>
      <c r="M522" s="1"/>
      <c r="N522" s="1"/>
      <c r="O522" s="1"/>
      <c r="P522" s="1"/>
      <c r="Q522" s="1"/>
      <c r="R522" s="1"/>
    </row>
    <row r="523">
      <c r="L523" s="1"/>
      <c r="M523" s="1"/>
      <c r="N523" s="1"/>
      <c r="O523" s="1"/>
      <c r="P523" s="1"/>
      <c r="Q523" s="1"/>
      <c r="R523" s="1"/>
    </row>
    <row r="524">
      <c r="L524" s="1"/>
      <c r="M524" s="1"/>
      <c r="N524" s="1"/>
      <c r="O524" s="1"/>
      <c r="P524" s="1"/>
      <c r="Q524" s="1"/>
      <c r="R524" s="1"/>
    </row>
    <row r="525">
      <c r="L525" s="1"/>
      <c r="M525" s="1"/>
      <c r="N525" s="1"/>
      <c r="O525" s="1"/>
      <c r="P525" s="1"/>
      <c r="Q525" s="1"/>
      <c r="R525" s="1"/>
    </row>
    <row r="526">
      <c r="L526" s="1"/>
      <c r="M526" s="1"/>
      <c r="N526" s="1"/>
      <c r="O526" s="1"/>
      <c r="P526" s="1"/>
      <c r="Q526" s="1"/>
      <c r="R526" s="1"/>
    </row>
    <row r="527">
      <c r="L527" s="1"/>
      <c r="M527" s="1"/>
      <c r="N527" s="1"/>
      <c r="O527" s="1"/>
      <c r="P527" s="1"/>
      <c r="Q527" s="1"/>
      <c r="R527" s="1"/>
    </row>
    <row r="528">
      <c r="L528" s="1"/>
      <c r="M528" s="1"/>
      <c r="N528" s="1"/>
      <c r="O528" s="1"/>
      <c r="P528" s="1"/>
      <c r="Q528" s="1"/>
      <c r="R528" s="1"/>
    </row>
    <row r="529">
      <c r="L529" s="1"/>
      <c r="M529" s="1"/>
      <c r="N529" s="1"/>
      <c r="O529" s="1"/>
      <c r="P529" s="1"/>
      <c r="Q529" s="1"/>
      <c r="R529" s="1"/>
    </row>
    <row r="530">
      <c r="L530" s="1"/>
      <c r="M530" s="1"/>
      <c r="N530" s="1"/>
      <c r="O530" s="1"/>
      <c r="P530" s="1"/>
      <c r="Q530" s="1"/>
      <c r="R530" s="1"/>
    </row>
    <row r="531">
      <c r="L531" s="1"/>
      <c r="M531" s="1"/>
      <c r="N531" s="1"/>
      <c r="O531" s="1"/>
      <c r="P531" s="1"/>
      <c r="Q531" s="1"/>
      <c r="R531" s="1"/>
    </row>
    <row r="532">
      <c r="L532" s="1"/>
      <c r="M532" s="1"/>
      <c r="N532" s="1"/>
      <c r="O532" s="1"/>
      <c r="P532" s="1"/>
      <c r="Q532" s="1"/>
      <c r="R532" s="1"/>
    </row>
    <row r="533">
      <c r="L533" s="1"/>
      <c r="M533" s="1"/>
      <c r="N533" s="1"/>
      <c r="O533" s="1"/>
      <c r="P533" s="1"/>
      <c r="Q533" s="1"/>
      <c r="R533" s="1"/>
    </row>
    <row r="534">
      <c r="L534" s="1"/>
      <c r="M534" s="1"/>
      <c r="N534" s="1"/>
      <c r="O534" s="1"/>
      <c r="P534" s="1"/>
      <c r="Q534" s="1"/>
      <c r="R534" s="1"/>
    </row>
    <row r="535">
      <c r="L535" s="1"/>
      <c r="M535" s="1"/>
      <c r="N535" s="1"/>
      <c r="O535" s="1"/>
      <c r="P535" s="1"/>
      <c r="Q535" s="1"/>
      <c r="R535" s="1"/>
    </row>
    <row r="536">
      <c r="L536" s="1"/>
      <c r="M536" s="1"/>
      <c r="N536" s="1"/>
      <c r="O536" s="1"/>
      <c r="P536" s="1"/>
      <c r="Q536" s="1"/>
      <c r="R536" s="1"/>
    </row>
    <row r="537">
      <c r="L537" s="1"/>
      <c r="M537" s="1"/>
      <c r="N537" s="1"/>
      <c r="O537" s="1"/>
      <c r="P537" s="1"/>
      <c r="Q537" s="1"/>
      <c r="R537" s="1"/>
    </row>
    <row r="538">
      <c r="L538" s="1"/>
      <c r="M538" s="1"/>
      <c r="N538" s="1"/>
      <c r="O538" s="1"/>
      <c r="P538" s="1"/>
      <c r="Q538" s="1"/>
      <c r="R538" s="1"/>
    </row>
    <row r="539">
      <c r="L539" s="1"/>
      <c r="M539" s="1"/>
      <c r="N539" s="1"/>
      <c r="O539" s="1"/>
      <c r="P539" s="1"/>
      <c r="Q539" s="1"/>
      <c r="R539" s="1"/>
    </row>
    <row r="540">
      <c r="L540" s="1"/>
      <c r="M540" s="1"/>
      <c r="N540" s="1"/>
      <c r="O540" s="1"/>
      <c r="P540" s="1"/>
      <c r="Q540" s="1"/>
      <c r="R540" s="1"/>
    </row>
    <row r="541">
      <c r="L541" s="1"/>
      <c r="M541" s="1"/>
      <c r="N541" s="1"/>
      <c r="O541" s="1"/>
      <c r="P541" s="1"/>
      <c r="Q541" s="1"/>
      <c r="R541" s="1"/>
    </row>
    <row r="542">
      <c r="L542" s="1"/>
      <c r="M542" s="1"/>
      <c r="N542" s="1"/>
      <c r="O542" s="1"/>
      <c r="P542" s="1"/>
      <c r="Q542" s="1"/>
      <c r="R542" s="1"/>
    </row>
    <row r="543">
      <c r="L543" s="1"/>
      <c r="M543" s="1"/>
      <c r="N543" s="1"/>
      <c r="O543" s="1"/>
      <c r="P543" s="1"/>
      <c r="Q543" s="1"/>
      <c r="R543" s="1"/>
    </row>
    <row r="544">
      <c r="L544" s="1"/>
      <c r="M544" s="1"/>
      <c r="N544" s="1"/>
      <c r="O544" s="1"/>
      <c r="P544" s="1"/>
      <c r="Q544" s="1"/>
      <c r="R544" s="1"/>
    </row>
    <row r="545">
      <c r="L545" s="1"/>
      <c r="M545" s="1"/>
      <c r="N545" s="1"/>
      <c r="O545" s="1"/>
      <c r="P545" s="1"/>
      <c r="Q545" s="1"/>
      <c r="R545" s="1"/>
    </row>
    <row r="546">
      <c r="L546" s="1"/>
      <c r="M546" s="1"/>
      <c r="N546" s="1"/>
      <c r="O546" s="1"/>
      <c r="P546" s="1"/>
      <c r="Q546" s="1"/>
      <c r="R546" s="1"/>
    </row>
    <row r="547">
      <c r="L547" s="1"/>
      <c r="M547" s="1"/>
      <c r="N547" s="1"/>
      <c r="O547" s="1"/>
      <c r="P547" s="1"/>
      <c r="Q547" s="1"/>
      <c r="R547" s="1"/>
    </row>
    <row r="548">
      <c r="L548" s="1"/>
      <c r="M548" s="1"/>
      <c r="N548" s="1"/>
      <c r="O548" s="1"/>
      <c r="P548" s="1"/>
      <c r="Q548" s="1"/>
      <c r="R548" s="1"/>
    </row>
    <row r="549">
      <c r="L549" s="1"/>
      <c r="M549" s="1"/>
      <c r="N549" s="1"/>
      <c r="O549" s="1"/>
      <c r="P549" s="1"/>
      <c r="Q549" s="1"/>
      <c r="R549" s="1"/>
    </row>
    <row r="550">
      <c r="L550" s="1"/>
      <c r="M550" s="1"/>
      <c r="N550" s="1"/>
      <c r="O550" s="1"/>
      <c r="P550" s="1"/>
      <c r="Q550" s="1"/>
      <c r="R550" s="1"/>
    </row>
    <row r="551">
      <c r="L551" s="1"/>
      <c r="M551" s="1"/>
      <c r="N551" s="1"/>
      <c r="O551" s="1"/>
      <c r="P551" s="1"/>
      <c r="Q551" s="1"/>
      <c r="R551" s="1"/>
    </row>
    <row r="552">
      <c r="L552" s="1"/>
      <c r="M552" s="1"/>
      <c r="N552" s="1"/>
      <c r="O552" s="1"/>
      <c r="P552" s="1"/>
      <c r="Q552" s="1"/>
      <c r="R552" s="1"/>
    </row>
    <row r="553">
      <c r="L553" s="1"/>
      <c r="M553" s="1"/>
      <c r="N553" s="1"/>
      <c r="O553" s="1"/>
      <c r="P553" s="1"/>
      <c r="Q553" s="1"/>
      <c r="R553" s="1"/>
    </row>
    <row r="554">
      <c r="L554" s="1"/>
      <c r="M554" s="1"/>
      <c r="N554" s="1"/>
      <c r="O554" s="1"/>
      <c r="P554" s="1"/>
      <c r="Q554" s="1"/>
      <c r="R554" s="1"/>
    </row>
    <row r="555">
      <c r="L555" s="1"/>
      <c r="M555" s="1"/>
      <c r="N555" s="1"/>
      <c r="O555" s="1"/>
      <c r="P555" s="1"/>
      <c r="Q555" s="1"/>
      <c r="R555" s="1"/>
    </row>
    <row r="556">
      <c r="L556" s="1"/>
      <c r="M556" s="1"/>
      <c r="N556" s="1"/>
      <c r="O556" s="1"/>
      <c r="P556" s="1"/>
      <c r="Q556" s="1"/>
      <c r="R556" s="1"/>
    </row>
    <row r="557">
      <c r="L557" s="1"/>
      <c r="M557" s="1"/>
      <c r="N557" s="1"/>
      <c r="O557" s="1"/>
      <c r="P557" s="1"/>
      <c r="Q557" s="1"/>
      <c r="R557" s="1"/>
    </row>
    <row r="558">
      <c r="L558" s="1"/>
      <c r="M558" s="1"/>
      <c r="N558" s="1"/>
      <c r="O558" s="1"/>
      <c r="P558" s="1"/>
      <c r="Q558" s="1"/>
      <c r="R558" s="1"/>
    </row>
    <row r="559">
      <c r="L559" s="1"/>
      <c r="M559" s="1"/>
      <c r="N559" s="1"/>
      <c r="O559" s="1"/>
      <c r="P559" s="1"/>
      <c r="Q559" s="1"/>
      <c r="R559" s="1"/>
    </row>
    <row r="560">
      <c r="L560" s="1"/>
      <c r="M560" s="1"/>
      <c r="N560" s="1"/>
      <c r="O560" s="1"/>
      <c r="P560" s="1"/>
      <c r="Q560" s="1"/>
      <c r="R560" s="1"/>
    </row>
    <row r="561">
      <c r="L561" s="1"/>
      <c r="M561" s="1"/>
      <c r="N561" s="1"/>
      <c r="O561" s="1"/>
      <c r="P561" s="1"/>
      <c r="Q561" s="1"/>
      <c r="R561" s="1"/>
    </row>
    <row r="562">
      <c r="L562" s="1"/>
      <c r="M562" s="1"/>
      <c r="N562" s="1"/>
      <c r="O562" s="1"/>
      <c r="P562" s="1"/>
      <c r="Q562" s="1"/>
      <c r="R562" s="1"/>
    </row>
    <row r="563">
      <c r="L563" s="1"/>
      <c r="M563" s="1"/>
      <c r="N563" s="1"/>
      <c r="O563" s="1"/>
      <c r="P563" s="1"/>
      <c r="Q563" s="1"/>
      <c r="R563" s="1"/>
    </row>
    <row r="564">
      <c r="L564" s="1"/>
      <c r="M564" s="1"/>
      <c r="N564" s="1"/>
      <c r="O564" s="1"/>
      <c r="P564" s="1"/>
      <c r="Q564" s="1"/>
      <c r="R564" s="1"/>
    </row>
    <row r="565">
      <c r="L565" s="1"/>
      <c r="M565" s="1"/>
      <c r="N565" s="1"/>
      <c r="O565" s="1"/>
      <c r="P565" s="1"/>
      <c r="Q565" s="1"/>
      <c r="R565" s="1"/>
    </row>
    <row r="566">
      <c r="L566" s="1"/>
      <c r="M566" s="1"/>
      <c r="N566" s="1"/>
      <c r="O566" s="1"/>
      <c r="P566" s="1"/>
      <c r="Q566" s="1"/>
      <c r="R566" s="1"/>
    </row>
    <row r="567">
      <c r="L567" s="1"/>
      <c r="M567" s="1"/>
      <c r="N567" s="1"/>
      <c r="O567" s="1"/>
      <c r="P567" s="1"/>
      <c r="Q567" s="1"/>
      <c r="R567" s="1"/>
    </row>
    <row r="568">
      <c r="L568" s="1"/>
      <c r="M568" s="1"/>
      <c r="N568" s="1"/>
      <c r="O568" s="1"/>
      <c r="P568" s="1"/>
      <c r="Q568" s="1"/>
      <c r="R568" s="1"/>
    </row>
    <row r="569">
      <c r="L569" s="1"/>
      <c r="M569" s="1"/>
      <c r="N569" s="1"/>
      <c r="O569" s="1"/>
      <c r="P569" s="1"/>
      <c r="Q569" s="1"/>
      <c r="R569" s="1"/>
    </row>
    <row r="570">
      <c r="L570" s="1"/>
      <c r="M570" s="1"/>
      <c r="N570" s="1"/>
      <c r="O570" s="1"/>
      <c r="P570" s="1"/>
      <c r="Q570" s="1"/>
      <c r="R570" s="1"/>
    </row>
    <row r="571">
      <c r="L571" s="1"/>
      <c r="M571" s="1"/>
      <c r="N571" s="1"/>
      <c r="O571" s="1"/>
      <c r="P571" s="1"/>
      <c r="Q571" s="1"/>
      <c r="R571" s="1"/>
    </row>
    <row r="572">
      <c r="L572" s="1"/>
      <c r="M572" s="1"/>
      <c r="N572" s="1"/>
      <c r="O572" s="1"/>
      <c r="P572" s="1"/>
      <c r="Q572" s="1"/>
      <c r="R572" s="1"/>
    </row>
    <row r="573">
      <c r="L573" s="1"/>
      <c r="M573" s="1"/>
      <c r="N573" s="1"/>
      <c r="O573" s="1"/>
      <c r="P573" s="1"/>
      <c r="Q573" s="1"/>
      <c r="R573" s="1"/>
    </row>
    <row r="574">
      <c r="L574" s="1"/>
      <c r="M574" s="1"/>
      <c r="N574" s="1"/>
      <c r="O574" s="1"/>
      <c r="P574" s="1"/>
      <c r="Q574" s="1"/>
      <c r="R574" s="1"/>
    </row>
    <row r="575">
      <c r="L575" s="1"/>
      <c r="M575" s="1"/>
      <c r="N575" s="1"/>
      <c r="O575" s="1"/>
      <c r="P575" s="1"/>
      <c r="Q575" s="1"/>
      <c r="R575" s="1"/>
    </row>
    <row r="576">
      <c r="L576" s="1"/>
      <c r="M576" s="1"/>
      <c r="N576" s="1"/>
      <c r="O576" s="1"/>
      <c r="P576" s="1"/>
      <c r="Q576" s="1"/>
      <c r="R576" s="1"/>
    </row>
    <row r="577">
      <c r="L577" s="1"/>
      <c r="M577" s="1"/>
      <c r="N577" s="1"/>
      <c r="O577" s="1"/>
      <c r="P577" s="1"/>
      <c r="Q577" s="1"/>
      <c r="R577" s="1"/>
    </row>
    <row r="578">
      <c r="L578" s="1"/>
      <c r="M578" s="1"/>
      <c r="N578" s="1"/>
      <c r="O578" s="1"/>
      <c r="P578" s="1"/>
      <c r="Q578" s="1"/>
      <c r="R578" s="1"/>
    </row>
    <row r="579">
      <c r="L579" s="1"/>
      <c r="M579" s="1"/>
      <c r="N579" s="1"/>
      <c r="O579" s="1"/>
      <c r="P579" s="1"/>
      <c r="Q579" s="1"/>
      <c r="R579" s="1"/>
    </row>
    <row r="580">
      <c r="L580" s="1"/>
      <c r="M580" s="1"/>
      <c r="N580" s="1"/>
      <c r="O580" s="1"/>
      <c r="P580" s="1"/>
      <c r="Q580" s="1"/>
      <c r="R580" s="1"/>
    </row>
    <row r="581">
      <c r="L581" s="1"/>
      <c r="M581" s="1"/>
      <c r="N581" s="1"/>
      <c r="O581" s="1"/>
      <c r="P581" s="1"/>
      <c r="Q581" s="1"/>
      <c r="R581" s="1"/>
    </row>
    <row r="582">
      <c r="L582" s="1"/>
      <c r="M582" s="1"/>
      <c r="N582" s="1"/>
      <c r="O582" s="1"/>
      <c r="P582" s="1"/>
      <c r="Q582" s="1"/>
      <c r="R582" s="1"/>
    </row>
    <row r="583">
      <c r="L583" s="1"/>
      <c r="M583" s="1"/>
      <c r="N583" s="1"/>
      <c r="O583" s="1"/>
      <c r="P583" s="1"/>
      <c r="Q583" s="1"/>
      <c r="R583" s="1"/>
    </row>
    <row r="584">
      <c r="L584" s="1"/>
      <c r="M584" s="1"/>
      <c r="N584" s="1"/>
      <c r="O584" s="1"/>
      <c r="P584" s="1"/>
      <c r="Q584" s="1"/>
      <c r="R584" s="1"/>
    </row>
    <row r="585">
      <c r="L585" s="1"/>
      <c r="M585" s="1"/>
      <c r="N585" s="1"/>
      <c r="O585" s="1"/>
      <c r="P585" s="1"/>
      <c r="Q585" s="1"/>
      <c r="R585" s="1"/>
    </row>
    <row r="586">
      <c r="L586" s="1"/>
      <c r="M586" s="1"/>
      <c r="N586" s="1"/>
      <c r="O586" s="1"/>
      <c r="P586" s="1"/>
      <c r="Q586" s="1"/>
      <c r="R586" s="1"/>
    </row>
    <row r="587">
      <c r="L587" s="1"/>
      <c r="M587" s="1"/>
      <c r="N587" s="1"/>
      <c r="O587" s="1"/>
      <c r="P587" s="1"/>
      <c r="Q587" s="1"/>
      <c r="R587" s="1"/>
    </row>
    <row r="588">
      <c r="L588" s="1"/>
      <c r="M588" s="1"/>
      <c r="N588" s="1"/>
      <c r="O588" s="1"/>
      <c r="P588" s="1"/>
      <c r="Q588" s="1"/>
      <c r="R588" s="1"/>
    </row>
    <row r="589">
      <c r="L589" s="1"/>
      <c r="M589" s="1"/>
      <c r="N589" s="1"/>
      <c r="O589" s="1"/>
      <c r="P589" s="1"/>
      <c r="Q589" s="1"/>
      <c r="R589" s="1"/>
    </row>
    <row r="590">
      <c r="L590" s="1"/>
      <c r="M590" s="1"/>
      <c r="N590" s="1"/>
      <c r="O590" s="1"/>
      <c r="P590" s="1"/>
      <c r="Q590" s="1"/>
      <c r="R590" s="1"/>
    </row>
    <row r="591">
      <c r="L591" s="1"/>
      <c r="M591" s="1"/>
      <c r="N591" s="1"/>
      <c r="O591" s="1"/>
      <c r="P591" s="1"/>
      <c r="Q591" s="1"/>
      <c r="R591" s="1"/>
    </row>
    <row r="592">
      <c r="L592" s="1"/>
      <c r="M592" s="1"/>
      <c r="N592" s="1"/>
      <c r="O592" s="1"/>
      <c r="P592" s="1"/>
      <c r="Q592" s="1"/>
      <c r="R592" s="1"/>
    </row>
    <row r="593">
      <c r="L593" s="1"/>
      <c r="M593" s="1"/>
      <c r="N593" s="1"/>
      <c r="O593" s="1"/>
      <c r="P593" s="1"/>
      <c r="Q593" s="1"/>
      <c r="R593" s="1"/>
    </row>
    <row r="594">
      <c r="L594" s="1"/>
      <c r="M594" s="1"/>
      <c r="N594" s="1"/>
      <c r="O594" s="1"/>
      <c r="P594" s="1"/>
      <c r="Q594" s="1"/>
      <c r="R594" s="1"/>
    </row>
    <row r="595">
      <c r="L595" s="1"/>
      <c r="M595" s="1"/>
      <c r="N595" s="1"/>
      <c r="O595" s="1"/>
      <c r="P595" s="1"/>
      <c r="Q595" s="1"/>
      <c r="R595" s="1"/>
    </row>
    <row r="596">
      <c r="L596" s="1"/>
      <c r="M596" s="1"/>
      <c r="N596" s="1"/>
      <c r="O596" s="1"/>
      <c r="P596" s="1"/>
      <c r="Q596" s="1"/>
      <c r="R596" s="1"/>
    </row>
    <row r="597">
      <c r="L597" s="1"/>
      <c r="M597" s="1"/>
      <c r="N597" s="1"/>
      <c r="O597" s="1"/>
      <c r="P597" s="1"/>
      <c r="Q597" s="1"/>
      <c r="R597" s="1"/>
    </row>
    <row r="598">
      <c r="L598" s="1"/>
      <c r="M598" s="1"/>
      <c r="N598" s="1"/>
      <c r="O598" s="1"/>
      <c r="P598" s="1"/>
      <c r="Q598" s="1"/>
      <c r="R598" s="1"/>
    </row>
    <row r="599">
      <c r="L599" s="1"/>
      <c r="M599" s="1"/>
      <c r="N599" s="1"/>
      <c r="O599" s="1"/>
      <c r="P599" s="1"/>
      <c r="Q599" s="1"/>
      <c r="R599" s="1"/>
    </row>
    <row r="600">
      <c r="L600" s="1"/>
      <c r="M600" s="1"/>
      <c r="N600" s="1"/>
      <c r="O600" s="1"/>
      <c r="P600" s="1"/>
      <c r="Q600" s="1"/>
      <c r="R600" s="1"/>
    </row>
    <row r="601">
      <c r="L601" s="1"/>
      <c r="M601" s="1"/>
      <c r="N601" s="1"/>
      <c r="O601" s="1"/>
      <c r="P601" s="1"/>
      <c r="Q601" s="1"/>
      <c r="R601" s="1"/>
    </row>
    <row r="602">
      <c r="L602" s="1"/>
      <c r="M602" s="1"/>
      <c r="N602" s="1"/>
      <c r="O602" s="1"/>
      <c r="P602" s="1"/>
      <c r="Q602" s="1"/>
      <c r="R602" s="1"/>
    </row>
    <row r="603">
      <c r="L603" s="1"/>
      <c r="M603" s="1"/>
      <c r="N603" s="1"/>
      <c r="O603" s="1"/>
      <c r="P603" s="1"/>
      <c r="Q603" s="1"/>
      <c r="R603" s="1"/>
    </row>
    <row r="604">
      <c r="L604" s="1"/>
      <c r="M604" s="1"/>
      <c r="N604" s="1"/>
      <c r="O604" s="1"/>
      <c r="P604" s="1"/>
      <c r="Q604" s="1"/>
      <c r="R604" s="1"/>
    </row>
    <row r="605">
      <c r="L605" s="1"/>
      <c r="M605" s="1"/>
      <c r="N605" s="1"/>
      <c r="O605" s="1"/>
      <c r="P605" s="1"/>
      <c r="Q605" s="1"/>
      <c r="R605" s="1"/>
    </row>
    <row r="606">
      <c r="L606" s="1"/>
      <c r="M606" s="1"/>
      <c r="N606" s="1"/>
      <c r="O606" s="1"/>
      <c r="P606" s="1"/>
      <c r="Q606" s="1"/>
      <c r="R606" s="1"/>
    </row>
    <row r="607">
      <c r="L607" s="1"/>
      <c r="M607" s="1"/>
      <c r="N607" s="1"/>
      <c r="O607" s="1"/>
      <c r="P607" s="1"/>
      <c r="Q607" s="1"/>
      <c r="R607" s="1"/>
    </row>
    <row r="608">
      <c r="L608" s="1"/>
      <c r="M608" s="1"/>
      <c r="N608" s="1"/>
      <c r="O608" s="1"/>
      <c r="P608" s="1"/>
      <c r="Q608" s="1"/>
      <c r="R608" s="1"/>
    </row>
    <row r="609">
      <c r="L609" s="1"/>
      <c r="M609" s="1"/>
      <c r="N609" s="1"/>
      <c r="O609" s="1"/>
      <c r="P609" s="1"/>
      <c r="Q609" s="1"/>
      <c r="R609" s="1"/>
    </row>
    <row r="610">
      <c r="L610" s="1"/>
      <c r="M610" s="1"/>
      <c r="N610" s="1"/>
      <c r="O610" s="1"/>
      <c r="P610" s="1"/>
      <c r="Q610" s="1"/>
      <c r="R610" s="1"/>
    </row>
    <row r="611">
      <c r="L611" s="1"/>
      <c r="M611" s="1"/>
      <c r="N611" s="1"/>
      <c r="O611" s="1"/>
      <c r="P611" s="1"/>
      <c r="Q611" s="1"/>
      <c r="R611" s="1"/>
    </row>
    <row r="612">
      <c r="L612" s="1"/>
      <c r="M612" s="1"/>
      <c r="N612" s="1"/>
      <c r="O612" s="1"/>
      <c r="P612" s="1"/>
      <c r="Q612" s="1"/>
      <c r="R612" s="1"/>
    </row>
    <row r="613">
      <c r="L613" s="1"/>
      <c r="M613" s="1"/>
      <c r="N613" s="1"/>
      <c r="O613" s="1"/>
      <c r="P613" s="1"/>
      <c r="Q613" s="1"/>
      <c r="R613" s="1"/>
    </row>
    <row r="614">
      <c r="L614" s="1"/>
      <c r="M614" s="1"/>
      <c r="N614" s="1"/>
      <c r="O614" s="1"/>
      <c r="P614" s="1"/>
      <c r="Q614" s="1"/>
      <c r="R614" s="1"/>
    </row>
    <row r="615">
      <c r="L615" s="1"/>
      <c r="M615" s="1"/>
      <c r="N615" s="1"/>
      <c r="O615" s="1"/>
      <c r="P615" s="1"/>
      <c r="Q615" s="1"/>
      <c r="R615" s="1"/>
    </row>
    <row r="616">
      <c r="L616" s="1"/>
      <c r="M616" s="1"/>
      <c r="N616" s="1"/>
      <c r="O616" s="1"/>
      <c r="P616" s="1"/>
      <c r="Q616" s="1"/>
      <c r="R616" s="1"/>
    </row>
    <row r="617">
      <c r="L617" s="1"/>
      <c r="M617" s="1"/>
      <c r="N617" s="1"/>
      <c r="O617" s="1"/>
      <c r="P617" s="1"/>
      <c r="Q617" s="1"/>
      <c r="R617" s="1"/>
    </row>
    <row r="618">
      <c r="L618" s="1"/>
      <c r="M618" s="1"/>
      <c r="N618" s="1"/>
      <c r="O618" s="1"/>
      <c r="P618" s="1"/>
      <c r="Q618" s="1"/>
      <c r="R618" s="1"/>
    </row>
    <row r="619">
      <c r="L619" s="1"/>
      <c r="M619" s="1"/>
      <c r="N619" s="1"/>
      <c r="O619" s="1"/>
      <c r="P619" s="1"/>
      <c r="Q619" s="1"/>
      <c r="R619" s="1"/>
    </row>
    <row r="620">
      <c r="L620" s="1"/>
      <c r="M620" s="1"/>
      <c r="N620" s="1"/>
      <c r="O620" s="1"/>
      <c r="P620" s="1"/>
      <c r="Q620" s="1"/>
      <c r="R620" s="1"/>
    </row>
    <row r="621">
      <c r="L621" s="1"/>
      <c r="M621" s="1"/>
      <c r="N621" s="1"/>
      <c r="O621" s="1"/>
      <c r="P621" s="1"/>
      <c r="Q621" s="1"/>
      <c r="R621" s="1"/>
    </row>
    <row r="622">
      <c r="L622" s="1"/>
      <c r="M622" s="1"/>
      <c r="N622" s="1"/>
      <c r="O622" s="1"/>
      <c r="P622" s="1"/>
      <c r="Q622" s="1"/>
      <c r="R622" s="1"/>
    </row>
    <row r="623">
      <c r="L623" s="1"/>
      <c r="M623" s="1"/>
      <c r="N623" s="1"/>
      <c r="O623" s="1"/>
      <c r="P623" s="1"/>
      <c r="Q623" s="1"/>
      <c r="R623" s="1"/>
    </row>
    <row r="624">
      <c r="L624" s="1"/>
      <c r="M624" s="1"/>
      <c r="N624" s="1"/>
      <c r="O624" s="1"/>
      <c r="P624" s="1"/>
      <c r="Q624" s="1"/>
      <c r="R624" s="1"/>
    </row>
    <row r="625">
      <c r="L625" s="1"/>
      <c r="M625" s="1"/>
      <c r="N625" s="1"/>
      <c r="O625" s="1"/>
      <c r="P625" s="1"/>
      <c r="Q625" s="1"/>
      <c r="R625" s="1"/>
    </row>
    <row r="626">
      <c r="L626" s="1"/>
      <c r="M626" s="1"/>
      <c r="N626" s="1"/>
      <c r="O626" s="1"/>
      <c r="P626" s="1"/>
      <c r="Q626" s="1"/>
      <c r="R626" s="1"/>
    </row>
    <row r="627">
      <c r="L627" s="1"/>
      <c r="M627" s="1"/>
      <c r="N627" s="1"/>
      <c r="O627" s="1"/>
      <c r="P627" s="1"/>
      <c r="Q627" s="1"/>
      <c r="R627" s="1"/>
    </row>
    <row r="628">
      <c r="L628" s="1"/>
      <c r="M628" s="1"/>
      <c r="N628" s="1"/>
      <c r="O628" s="1"/>
      <c r="P628" s="1"/>
      <c r="Q628" s="1"/>
      <c r="R628" s="1"/>
    </row>
    <row r="629">
      <c r="L629" s="1"/>
      <c r="M629" s="1"/>
      <c r="N629" s="1"/>
      <c r="O629" s="1"/>
      <c r="P629" s="1"/>
      <c r="Q629" s="1"/>
      <c r="R629" s="1"/>
    </row>
    <row r="630">
      <c r="L630" s="1"/>
      <c r="M630" s="1"/>
      <c r="N630" s="1"/>
      <c r="O630" s="1"/>
      <c r="P630" s="1"/>
      <c r="Q630" s="1"/>
      <c r="R630" s="1"/>
    </row>
    <row r="631">
      <c r="L631" s="1"/>
      <c r="M631" s="1"/>
      <c r="N631" s="1"/>
      <c r="O631" s="1"/>
      <c r="P631" s="1"/>
      <c r="Q631" s="1"/>
      <c r="R631" s="1"/>
    </row>
    <row r="632">
      <c r="L632" s="1"/>
      <c r="M632" s="1"/>
      <c r="N632" s="1"/>
      <c r="O632" s="1"/>
      <c r="P632" s="1"/>
      <c r="Q632" s="1"/>
      <c r="R632" s="1"/>
    </row>
    <row r="633">
      <c r="L633" s="1"/>
      <c r="M633" s="1"/>
      <c r="N633" s="1"/>
      <c r="O633" s="1"/>
      <c r="P633" s="1"/>
      <c r="Q633" s="1"/>
      <c r="R633" s="1"/>
    </row>
    <row r="634">
      <c r="L634" s="1"/>
      <c r="M634" s="1"/>
      <c r="N634" s="1"/>
      <c r="O634" s="1"/>
      <c r="P634" s="1"/>
      <c r="Q634" s="1"/>
      <c r="R634" s="1"/>
    </row>
    <row r="635">
      <c r="L635" s="1"/>
      <c r="M635" s="1"/>
      <c r="N635" s="1"/>
      <c r="O635" s="1"/>
      <c r="P635" s="1"/>
      <c r="Q635" s="1"/>
      <c r="R635" s="1"/>
    </row>
    <row r="636">
      <c r="L636" s="1"/>
      <c r="M636" s="1"/>
      <c r="N636" s="1"/>
      <c r="O636" s="1"/>
      <c r="P636" s="1"/>
      <c r="Q636" s="1"/>
      <c r="R636" s="1"/>
    </row>
    <row r="637">
      <c r="L637" s="1"/>
      <c r="M637" s="1"/>
      <c r="N637" s="1"/>
      <c r="O637" s="1"/>
      <c r="P637" s="1"/>
      <c r="Q637" s="1"/>
      <c r="R637" s="1"/>
    </row>
    <row r="638">
      <c r="L638" s="1"/>
      <c r="M638" s="1"/>
      <c r="N638" s="1"/>
      <c r="O638" s="1"/>
      <c r="P638" s="1"/>
      <c r="Q638" s="1"/>
      <c r="R638" s="1"/>
    </row>
    <row r="639">
      <c r="L639" s="1"/>
      <c r="M639" s="1"/>
      <c r="N639" s="1"/>
      <c r="O639" s="1"/>
      <c r="P639" s="1"/>
      <c r="Q639" s="1"/>
      <c r="R639" s="1"/>
    </row>
    <row r="640">
      <c r="L640" s="1"/>
      <c r="M640" s="1"/>
      <c r="N640" s="1"/>
      <c r="O640" s="1"/>
      <c r="P640" s="1"/>
      <c r="Q640" s="1"/>
      <c r="R640" s="1"/>
    </row>
    <row r="641">
      <c r="L641" s="1"/>
      <c r="M641" s="1"/>
      <c r="N641" s="1"/>
      <c r="O641" s="1"/>
      <c r="P641" s="1"/>
      <c r="Q641" s="1"/>
      <c r="R641" s="1"/>
    </row>
    <row r="642">
      <c r="L642" s="1"/>
      <c r="M642" s="1"/>
      <c r="N642" s="1"/>
      <c r="O642" s="1"/>
      <c r="P642" s="1"/>
      <c r="Q642" s="1"/>
      <c r="R642" s="1"/>
    </row>
    <row r="643">
      <c r="L643" s="1"/>
      <c r="M643" s="1"/>
      <c r="N643" s="1"/>
      <c r="O643" s="1"/>
      <c r="P643" s="1"/>
      <c r="Q643" s="1"/>
      <c r="R643" s="1"/>
    </row>
    <row r="644">
      <c r="L644" s="1"/>
      <c r="M644" s="1"/>
      <c r="N644" s="1"/>
      <c r="O644" s="1"/>
      <c r="P644" s="1"/>
      <c r="Q644" s="1"/>
      <c r="R644" s="1"/>
    </row>
    <row r="645">
      <c r="L645" s="1"/>
      <c r="M645" s="1"/>
      <c r="N645" s="1"/>
      <c r="O645" s="1"/>
      <c r="P645" s="1"/>
      <c r="Q645" s="1"/>
      <c r="R645" s="1"/>
    </row>
    <row r="646">
      <c r="L646" s="1"/>
      <c r="M646" s="1"/>
      <c r="N646" s="1"/>
      <c r="O646" s="1"/>
      <c r="P646" s="1"/>
      <c r="Q646" s="1"/>
      <c r="R646" s="1"/>
    </row>
    <row r="647">
      <c r="L647" s="1"/>
      <c r="M647" s="1"/>
      <c r="N647" s="1"/>
      <c r="O647" s="1"/>
      <c r="P647" s="1"/>
      <c r="Q647" s="1"/>
      <c r="R647" s="1"/>
    </row>
    <row r="648">
      <c r="L648" s="1"/>
      <c r="M648" s="1"/>
      <c r="N648" s="1"/>
      <c r="O648" s="1"/>
      <c r="P648" s="1"/>
      <c r="Q648" s="1"/>
      <c r="R648" s="1"/>
    </row>
    <row r="649">
      <c r="L649" s="1"/>
      <c r="M649" s="1"/>
      <c r="N649" s="1"/>
      <c r="O649" s="1"/>
      <c r="P649" s="1"/>
      <c r="Q649" s="1"/>
      <c r="R649" s="1"/>
    </row>
    <row r="650">
      <c r="L650" s="1"/>
      <c r="M650" s="1"/>
      <c r="N650" s="1"/>
      <c r="O650" s="1"/>
      <c r="P650" s="1"/>
      <c r="Q650" s="1"/>
      <c r="R650" s="1"/>
    </row>
    <row r="651">
      <c r="L651" s="1"/>
      <c r="M651" s="1"/>
      <c r="N651" s="1"/>
      <c r="O651" s="1"/>
      <c r="P651" s="1"/>
      <c r="Q651" s="1"/>
      <c r="R651" s="1"/>
    </row>
    <row r="652">
      <c r="L652" s="1"/>
      <c r="M652" s="1"/>
      <c r="N652" s="1"/>
      <c r="O652" s="1"/>
      <c r="P652" s="1"/>
      <c r="Q652" s="1"/>
      <c r="R652" s="1"/>
    </row>
    <row r="653">
      <c r="L653" s="1"/>
      <c r="M653" s="1"/>
      <c r="N653" s="1"/>
      <c r="O653" s="1"/>
      <c r="P653" s="1"/>
      <c r="Q653" s="1"/>
      <c r="R653" s="1"/>
    </row>
    <row r="654">
      <c r="L654" s="1"/>
      <c r="M654" s="1"/>
      <c r="N654" s="1"/>
      <c r="O654" s="1"/>
      <c r="P654" s="1"/>
      <c r="Q654" s="1"/>
      <c r="R654" s="1"/>
    </row>
    <row r="655">
      <c r="L655" s="1"/>
      <c r="M655" s="1"/>
      <c r="N655" s="1"/>
      <c r="O655" s="1"/>
      <c r="P655" s="1"/>
      <c r="Q655" s="1"/>
      <c r="R655" s="1"/>
    </row>
    <row r="656">
      <c r="L656" s="1"/>
      <c r="M656" s="1"/>
      <c r="N656" s="1"/>
      <c r="O656" s="1"/>
      <c r="P656" s="1"/>
      <c r="Q656" s="1"/>
      <c r="R656" s="1"/>
    </row>
    <row r="657">
      <c r="L657" s="1"/>
      <c r="M657" s="1"/>
      <c r="N657" s="1"/>
      <c r="O657" s="1"/>
      <c r="P657" s="1"/>
      <c r="Q657" s="1"/>
      <c r="R657" s="1"/>
    </row>
    <row r="658">
      <c r="L658" s="1"/>
      <c r="M658" s="1"/>
      <c r="N658" s="1"/>
      <c r="O658" s="1"/>
      <c r="P658" s="1"/>
      <c r="Q658" s="1"/>
      <c r="R658" s="1"/>
    </row>
    <row r="659">
      <c r="L659" s="1"/>
      <c r="M659" s="1"/>
      <c r="N659" s="1"/>
      <c r="O659" s="1"/>
      <c r="P659" s="1"/>
      <c r="Q659" s="1"/>
      <c r="R659" s="1"/>
    </row>
    <row r="660">
      <c r="L660" s="1"/>
      <c r="M660" s="1"/>
      <c r="N660" s="1"/>
      <c r="O660" s="1"/>
      <c r="P660" s="1"/>
      <c r="Q660" s="1"/>
      <c r="R660" s="1"/>
    </row>
    <row r="661">
      <c r="L661" s="1"/>
      <c r="M661" s="1"/>
      <c r="N661" s="1"/>
      <c r="O661" s="1"/>
      <c r="P661" s="1"/>
      <c r="Q661" s="1"/>
      <c r="R661" s="1"/>
    </row>
    <row r="662">
      <c r="L662" s="1"/>
      <c r="M662" s="1"/>
      <c r="N662" s="1"/>
      <c r="O662" s="1"/>
      <c r="P662" s="1"/>
      <c r="Q662" s="1"/>
      <c r="R662" s="1"/>
    </row>
    <row r="663">
      <c r="L663" s="1"/>
      <c r="M663" s="1"/>
      <c r="N663" s="1"/>
      <c r="O663" s="1"/>
      <c r="P663" s="1"/>
      <c r="Q663" s="1"/>
      <c r="R663" s="1"/>
    </row>
    <row r="664">
      <c r="L664" s="1"/>
      <c r="M664" s="1"/>
      <c r="N664" s="1"/>
      <c r="O664" s="1"/>
      <c r="P664" s="1"/>
      <c r="Q664" s="1"/>
      <c r="R664" s="1"/>
    </row>
    <row r="665">
      <c r="L665" s="1"/>
      <c r="M665" s="1"/>
      <c r="N665" s="1"/>
      <c r="O665" s="1"/>
      <c r="P665" s="1"/>
      <c r="Q665" s="1"/>
      <c r="R665" s="1"/>
    </row>
    <row r="666">
      <c r="L666" s="1"/>
      <c r="M666" s="1"/>
      <c r="N666" s="1"/>
      <c r="O666" s="1"/>
      <c r="P666" s="1"/>
      <c r="Q666" s="1"/>
      <c r="R666" s="1"/>
    </row>
    <row r="667">
      <c r="L667" s="1"/>
      <c r="M667" s="1"/>
      <c r="N667" s="1"/>
      <c r="O667" s="1"/>
      <c r="P667" s="1"/>
      <c r="Q667" s="1"/>
      <c r="R667" s="1"/>
    </row>
    <row r="668">
      <c r="L668" s="1"/>
      <c r="M668" s="1"/>
      <c r="N668" s="1"/>
      <c r="O668" s="1"/>
      <c r="P668" s="1"/>
      <c r="Q668" s="1"/>
      <c r="R668" s="1"/>
    </row>
    <row r="669">
      <c r="L669" s="1"/>
      <c r="M669" s="1"/>
      <c r="N669" s="1"/>
      <c r="O669" s="1"/>
      <c r="P669" s="1"/>
      <c r="Q669" s="1"/>
      <c r="R669" s="1"/>
    </row>
    <row r="670">
      <c r="L670" s="1"/>
      <c r="M670" s="1"/>
      <c r="N670" s="1"/>
      <c r="O670" s="1"/>
      <c r="P670" s="1"/>
      <c r="Q670" s="1"/>
      <c r="R670" s="1"/>
    </row>
    <row r="671">
      <c r="L671" s="1"/>
      <c r="M671" s="1"/>
      <c r="N671" s="1"/>
      <c r="O671" s="1"/>
      <c r="P671" s="1"/>
      <c r="Q671" s="1"/>
      <c r="R671" s="1"/>
    </row>
    <row r="672">
      <c r="L672" s="1"/>
      <c r="M672" s="1"/>
      <c r="N672" s="1"/>
      <c r="O672" s="1"/>
      <c r="P672" s="1"/>
      <c r="Q672" s="1"/>
      <c r="R672" s="1"/>
    </row>
    <row r="673">
      <c r="L673" s="1"/>
      <c r="M673" s="1"/>
      <c r="N673" s="1"/>
      <c r="O673" s="1"/>
      <c r="P673" s="1"/>
      <c r="Q673" s="1"/>
      <c r="R673" s="1"/>
    </row>
    <row r="674">
      <c r="L674" s="1"/>
      <c r="M674" s="1"/>
      <c r="N674" s="1"/>
      <c r="O674" s="1"/>
      <c r="P674" s="1"/>
      <c r="Q674" s="1"/>
      <c r="R674" s="1"/>
    </row>
    <row r="675">
      <c r="L675" s="1"/>
      <c r="M675" s="1"/>
      <c r="N675" s="1"/>
      <c r="O675" s="1"/>
      <c r="P675" s="1"/>
      <c r="Q675" s="1"/>
      <c r="R675" s="1"/>
    </row>
    <row r="676">
      <c r="L676" s="1"/>
      <c r="M676" s="1"/>
      <c r="N676" s="1"/>
      <c r="O676" s="1"/>
      <c r="P676" s="1"/>
      <c r="Q676" s="1"/>
      <c r="R676" s="1"/>
    </row>
    <row r="677">
      <c r="L677" s="1"/>
      <c r="M677" s="1"/>
      <c r="N677" s="1"/>
      <c r="O677" s="1"/>
      <c r="P677" s="1"/>
      <c r="Q677" s="1"/>
      <c r="R677" s="1"/>
    </row>
    <row r="678">
      <c r="L678" s="1"/>
      <c r="M678" s="1"/>
      <c r="N678" s="1"/>
      <c r="O678" s="1"/>
      <c r="P678" s="1"/>
      <c r="Q678" s="1"/>
      <c r="R678" s="1"/>
    </row>
    <row r="679">
      <c r="L679" s="1"/>
      <c r="M679" s="1"/>
      <c r="N679" s="1"/>
      <c r="O679" s="1"/>
      <c r="P679" s="1"/>
      <c r="Q679" s="1"/>
      <c r="R679" s="1"/>
    </row>
    <row r="680">
      <c r="L680" s="1"/>
      <c r="M680" s="1"/>
      <c r="N680" s="1"/>
      <c r="O680" s="1"/>
      <c r="P680" s="1"/>
      <c r="Q680" s="1"/>
      <c r="R680" s="1"/>
    </row>
    <row r="681">
      <c r="L681" s="1"/>
      <c r="M681" s="1"/>
      <c r="N681" s="1"/>
      <c r="O681" s="1"/>
      <c r="P681" s="1"/>
      <c r="Q681" s="1"/>
      <c r="R681" s="1"/>
    </row>
    <row r="682">
      <c r="L682" s="1"/>
      <c r="M682" s="1"/>
      <c r="N682" s="1"/>
      <c r="O682" s="1"/>
      <c r="P682" s="1"/>
      <c r="Q682" s="1"/>
      <c r="R682" s="1"/>
    </row>
    <row r="683">
      <c r="L683" s="1"/>
      <c r="M683" s="1"/>
      <c r="N683" s="1"/>
      <c r="O683" s="1"/>
      <c r="P683" s="1"/>
      <c r="Q683" s="1"/>
      <c r="R683" s="1"/>
    </row>
    <row r="684">
      <c r="L684" s="1"/>
      <c r="M684" s="1"/>
      <c r="N684" s="1"/>
      <c r="O684" s="1"/>
      <c r="P684" s="1"/>
      <c r="Q684" s="1"/>
      <c r="R684" s="1"/>
    </row>
    <row r="685">
      <c r="L685" s="1"/>
      <c r="M685" s="1"/>
      <c r="N685" s="1"/>
      <c r="O685" s="1"/>
      <c r="P685" s="1"/>
      <c r="Q685" s="1"/>
      <c r="R685" s="1"/>
    </row>
    <row r="686">
      <c r="L686" s="1"/>
      <c r="M686" s="1"/>
      <c r="N686" s="1"/>
      <c r="O686" s="1"/>
      <c r="P686" s="1"/>
      <c r="Q686" s="1"/>
      <c r="R686" s="1"/>
    </row>
    <row r="687">
      <c r="L687" s="1"/>
      <c r="M687" s="1"/>
      <c r="N687" s="1"/>
      <c r="O687" s="1"/>
      <c r="P687" s="1"/>
      <c r="Q687" s="1"/>
      <c r="R687" s="1"/>
    </row>
    <row r="688">
      <c r="L688" s="1"/>
      <c r="M688" s="1"/>
      <c r="N688" s="1"/>
      <c r="O688" s="1"/>
      <c r="P688" s="1"/>
      <c r="Q688" s="1"/>
      <c r="R688" s="1"/>
    </row>
    <row r="689">
      <c r="L689" s="1"/>
      <c r="M689" s="1"/>
      <c r="N689" s="1"/>
      <c r="O689" s="1"/>
      <c r="P689" s="1"/>
      <c r="Q689" s="1"/>
      <c r="R689" s="1"/>
    </row>
    <row r="690">
      <c r="L690" s="1"/>
      <c r="M690" s="1"/>
      <c r="N690" s="1"/>
      <c r="O690" s="1"/>
      <c r="P690" s="1"/>
      <c r="Q690" s="1"/>
      <c r="R690" s="1"/>
    </row>
    <row r="691">
      <c r="L691" s="1"/>
      <c r="M691" s="1"/>
      <c r="N691" s="1"/>
      <c r="O691" s="1"/>
      <c r="P691" s="1"/>
      <c r="Q691" s="1"/>
      <c r="R691" s="1"/>
    </row>
    <row r="692">
      <c r="L692" s="1"/>
      <c r="M692" s="1"/>
      <c r="N692" s="1"/>
      <c r="O692" s="1"/>
      <c r="P692" s="1"/>
      <c r="Q692" s="1"/>
      <c r="R692" s="1"/>
    </row>
    <row r="693">
      <c r="L693" s="1"/>
      <c r="M693" s="1"/>
      <c r="N693" s="1"/>
      <c r="O693" s="1"/>
      <c r="P693" s="1"/>
      <c r="Q693" s="1"/>
      <c r="R693" s="1"/>
    </row>
    <row r="694">
      <c r="L694" s="1"/>
      <c r="M694" s="1"/>
      <c r="N694" s="1"/>
      <c r="O694" s="1"/>
      <c r="P694" s="1"/>
      <c r="Q694" s="1"/>
      <c r="R694" s="1"/>
    </row>
    <row r="695">
      <c r="L695" s="1"/>
      <c r="M695" s="1"/>
      <c r="N695" s="1"/>
      <c r="O695" s="1"/>
      <c r="P695" s="1"/>
      <c r="Q695" s="1"/>
      <c r="R695" s="1"/>
    </row>
    <row r="696">
      <c r="L696" s="1"/>
      <c r="M696" s="1"/>
      <c r="N696" s="1"/>
      <c r="O696" s="1"/>
      <c r="P696" s="1"/>
      <c r="Q696" s="1"/>
      <c r="R696" s="1"/>
    </row>
    <row r="697">
      <c r="L697" s="1"/>
      <c r="M697" s="1"/>
      <c r="N697" s="1"/>
      <c r="O697" s="1"/>
      <c r="P697" s="1"/>
      <c r="Q697" s="1"/>
      <c r="R697" s="1"/>
    </row>
    <row r="698">
      <c r="L698" s="1"/>
      <c r="M698" s="1"/>
      <c r="N698" s="1"/>
      <c r="O698" s="1"/>
      <c r="P698" s="1"/>
      <c r="Q698" s="1"/>
      <c r="R698" s="1"/>
    </row>
    <row r="699">
      <c r="L699" s="1"/>
      <c r="M699" s="1"/>
      <c r="N699" s="1"/>
      <c r="O699" s="1"/>
      <c r="P699" s="1"/>
      <c r="Q699" s="1"/>
      <c r="R699" s="1"/>
    </row>
    <row r="700">
      <c r="L700" s="1"/>
      <c r="M700" s="1"/>
      <c r="N700" s="1"/>
      <c r="O700" s="1"/>
      <c r="P700" s="1"/>
      <c r="Q700" s="1"/>
      <c r="R700" s="1"/>
    </row>
    <row r="701">
      <c r="L701" s="1"/>
      <c r="M701" s="1"/>
      <c r="N701" s="1"/>
      <c r="O701" s="1"/>
      <c r="P701" s="1"/>
      <c r="Q701" s="1"/>
      <c r="R701" s="1"/>
    </row>
    <row r="702">
      <c r="L702" s="1"/>
      <c r="M702" s="1"/>
      <c r="N702" s="1"/>
      <c r="O702" s="1"/>
      <c r="P702" s="1"/>
      <c r="Q702" s="1"/>
      <c r="R702" s="1"/>
    </row>
    <row r="703">
      <c r="L703" s="1"/>
      <c r="M703" s="1"/>
      <c r="N703" s="1"/>
      <c r="O703" s="1"/>
      <c r="P703" s="1"/>
      <c r="Q703" s="1"/>
      <c r="R703" s="1"/>
    </row>
    <row r="704">
      <c r="L704" s="1"/>
      <c r="M704" s="1"/>
      <c r="N704" s="1"/>
      <c r="O704" s="1"/>
      <c r="P704" s="1"/>
      <c r="Q704" s="1"/>
      <c r="R704" s="1"/>
    </row>
    <row r="705">
      <c r="L705" s="1"/>
      <c r="M705" s="1"/>
      <c r="N705" s="1"/>
      <c r="O705" s="1"/>
      <c r="P705" s="1"/>
      <c r="Q705" s="1"/>
      <c r="R705" s="1"/>
    </row>
    <row r="706">
      <c r="L706" s="1"/>
      <c r="M706" s="1"/>
      <c r="N706" s="1"/>
      <c r="O706" s="1"/>
      <c r="P706" s="1"/>
      <c r="Q706" s="1"/>
      <c r="R706" s="1"/>
    </row>
    <row r="707">
      <c r="L707" s="1"/>
      <c r="M707" s="1"/>
      <c r="N707" s="1"/>
      <c r="O707" s="1"/>
      <c r="P707" s="1"/>
      <c r="Q707" s="1"/>
      <c r="R707" s="1"/>
    </row>
    <row r="708">
      <c r="L708" s="1"/>
      <c r="M708" s="1"/>
      <c r="N708" s="1"/>
      <c r="O708" s="1"/>
      <c r="P708" s="1"/>
      <c r="Q708" s="1"/>
      <c r="R708" s="1"/>
    </row>
    <row r="709">
      <c r="L709" s="1"/>
      <c r="M709" s="1"/>
      <c r="N709" s="1"/>
      <c r="O709" s="1"/>
      <c r="P709" s="1"/>
      <c r="Q709" s="1"/>
      <c r="R709" s="1"/>
    </row>
    <row r="710">
      <c r="L710" s="1"/>
      <c r="M710" s="1"/>
      <c r="N710" s="1"/>
      <c r="O710" s="1"/>
      <c r="P710" s="1"/>
      <c r="Q710" s="1"/>
      <c r="R710" s="1"/>
    </row>
    <row r="711">
      <c r="L711" s="1"/>
      <c r="M711" s="1"/>
      <c r="N711" s="1"/>
      <c r="O711" s="1"/>
      <c r="P711" s="1"/>
      <c r="Q711" s="1"/>
      <c r="R711" s="1"/>
    </row>
    <row r="712">
      <c r="L712" s="1"/>
      <c r="M712" s="1"/>
      <c r="N712" s="1"/>
      <c r="O712" s="1"/>
      <c r="P712" s="1"/>
      <c r="Q712" s="1"/>
      <c r="R712" s="1"/>
    </row>
    <row r="713">
      <c r="L713" s="1"/>
      <c r="M713" s="1"/>
      <c r="N713" s="1"/>
      <c r="O713" s="1"/>
      <c r="P713" s="1"/>
      <c r="Q713" s="1"/>
      <c r="R713" s="1"/>
    </row>
    <row r="714">
      <c r="L714" s="1"/>
      <c r="M714" s="1"/>
      <c r="N714" s="1"/>
      <c r="O714" s="1"/>
      <c r="P714" s="1"/>
      <c r="Q714" s="1"/>
      <c r="R714" s="1"/>
    </row>
    <row r="715">
      <c r="L715" s="1"/>
      <c r="M715" s="1"/>
      <c r="N715" s="1"/>
      <c r="O715" s="1"/>
      <c r="P715" s="1"/>
      <c r="Q715" s="1"/>
      <c r="R715" s="1"/>
    </row>
    <row r="716">
      <c r="L716" s="1"/>
      <c r="M716" s="1"/>
      <c r="N716" s="1"/>
      <c r="O716" s="1"/>
      <c r="P716" s="1"/>
      <c r="Q716" s="1"/>
      <c r="R716" s="1"/>
    </row>
    <row r="717">
      <c r="L717" s="1"/>
      <c r="M717" s="1"/>
      <c r="N717" s="1"/>
      <c r="O717" s="1"/>
      <c r="P717" s="1"/>
      <c r="Q717" s="1"/>
      <c r="R717" s="1"/>
    </row>
    <row r="718">
      <c r="L718" s="1"/>
      <c r="M718" s="1"/>
      <c r="N718" s="1"/>
      <c r="O718" s="1"/>
      <c r="P718" s="1"/>
      <c r="Q718" s="1"/>
      <c r="R718" s="1"/>
    </row>
    <row r="719">
      <c r="L719" s="1"/>
      <c r="M719" s="1"/>
      <c r="N719" s="1"/>
      <c r="O719" s="1"/>
      <c r="P719" s="1"/>
      <c r="Q719" s="1"/>
      <c r="R719" s="1"/>
    </row>
    <row r="720">
      <c r="L720" s="1"/>
      <c r="M720" s="1"/>
      <c r="N720" s="1"/>
      <c r="O720" s="1"/>
      <c r="P720" s="1"/>
      <c r="Q720" s="1"/>
      <c r="R720" s="1"/>
    </row>
    <row r="721">
      <c r="L721" s="1"/>
      <c r="M721" s="1"/>
      <c r="N721" s="1"/>
      <c r="O721" s="1"/>
      <c r="P721" s="1"/>
      <c r="Q721" s="1"/>
      <c r="R721" s="1"/>
    </row>
    <row r="722">
      <c r="L722" s="1"/>
      <c r="M722" s="1"/>
      <c r="N722" s="1"/>
      <c r="O722" s="1"/>
      <c r="P722" s="1"/>
      <c r="Q722" s="1"/>
      <c r="R722" s="1"/>
    </row>
    <row r="723">
      <c r="L723" s="1"/>
      <c r="M723" s="1"/>
      <c r="N723" s="1"/>
      <c r="O723" s="1"/>
      <c r="P723" s="1"/>
      <c r="Q723" s="1"/>
      <c r="R723" s="1"/>
    </row>
    <row r="724">
      <c r="L724" s="1"/>
      <c r="M724" s="1"/>
      <c r="N724" s="1"/>
      <c r="O724" s="1"/>
      <c r="P724" s="1"/>
      <c r="Q724" s="1"/>
      <c r="R724" s="1"/>
    </row>
    <row r="725">
      <c r="L725" s="1"/>
      <c r="M725" s="1"/>
      <c r="N725" s="1"/>
      <c r="O725" s="1"/>
      <c r="P725" s="1"/>
      <c r="Q725" s="1"/>
      <c r="R725" s="1"/>
    </row>
    <row r="726">
      <c r="L726" s="1"/>
      <c r="M726" s="1"/>
      <c r="N726" s="1"/>
      <c r="O726" s="1"/>
      <c r="P726" s="1"/>
      <c r="Q726" s="1"/>
      <c r="R726" s="1"/>
    </row>
    <row r="727">
      <c r="L727" s="1"/>
      <c r="M727" s="1"/>
      <c r="N727" s="1"/>
      <c r="O727" s="1"/>
      <c r="P727" s="1"/>
      <c r="Q727" s="1"/>
      <c r="R727" s="1"/>
    </row>
    <row r="728">
      <c r="L728" s="1"/>
      <c r="M728" s="1"/>
      <c r="N728" s="1"/>
      <c r="O728" s="1"/>
      <c r="P728" s="1"/>
      <c r="Q728" s="1"/>
      <c r="R728" s="1"/>
    </row>
    <row r="729">
      <c r="L729" s="1"/>
      <c r="M729" s="1"/>
      <c r="N729" s="1"/>
      <c r="O729" s="1"/>
      <c r="P729" s="1"/>
      <c r="Q729" s="1"/>
      <c r="R729" s="1"/>
    </row>
    <row r="730">
      <c r="L730" s="1"/>
      <c r="M730" s="1"/>
      <c r="N730" s="1"/>
      <c r="O730" s="1"/>
      <c r="P730" s="1"/>
      <c r="Q730" s="1"/>
      <c r="R730" s="1"/>
    </row>
    <row r="731">
      <c r="L731" s="1"/>
      <c r="M731" s="1"/>
      <c r="N731" s="1"/>
      <c r="O731" s="1"/>
      <c r="P731" s="1"/>
      <c r="Q731" s="1"/>
      <c r="R731" s="1"/>
    </row>
    <row r="732">
      <c r="L732" s="1"/>
      <c r="M732" s="1"/>
      <c r="N732" s="1"/>
      <c r="O732" s="1"/>
      <c r="P732" s="1"/>
      <c r="Q732" s="1"/>
      <c r="R732" s="1"/>
    </row>
    <row r="733">
      <c r="L733" s="1"/>
      <c r="M733" s="1"/>
      <c r="N733" s="1"/>
      <c r="O733" s="1"/>
      <c r="P733" s="1"/>
      <c r="Q733" s="1"/>
      <c r="R733" s="1"/>
    </row>
    <row r="734">
      <c r="L734" s="1"/>
      <c r="M734" s="1"/>
      <c r="N734" s="1"/>
      <c r="O734" s="1"/>
      <c r="P734" s="1"/>
      <c r="Q734" s="1"/>
      <c r="R734" s="1"/>
    </row>
    <row r="735">
      <c r="L735" s="1"/>
      <c r="M735" s="1"/>
      <c r="N735" s="1"/>
      <c r="O735" s="1"/>
      <c r="P735" s="1"/>
      <c r="Q735" s="1"/>
      <c r="R735" s="1"/>
    </row>
    <row r="736">
      <c r="L736" s="1"/>
      <c r="M736" s="1"/>
      <c r="N736" s="1"/>
      <c r="O736" s="1"/>
      <c r="P736" s="1"/>
      <c r="Q736" s="1"/>
      <c r="R736" s="1"/>
    </row>
    <row r="737">
      <c r="L737" s="1"/>
      <c r="M737" s="1"/>
      <c r="N737" s="1"/>
      <c r="O737" s="1"/>
      <c r="P737" s="1"/>
      <c r="Q737" s="1"/>
      <c r="R737" s="1"/>
    </row>
    <row r="738">
      <c r="L738" s="1"/>
      <c r="M738" s="1"/>
      <c r="N738" s="1"/>
      <c r="O738" s="1"/>
      <c r="P738" s="1"/>
      <c r="Q738" s="1"/>
      <c r="R738" s="1"/>
    </row>
    <row r="739">
      <c r="L739" s="1"/>
      <c r="M739" s="1"/>
      <c r="N739" s="1"/>
      <c r="O739" s="1"/>
      <c r="P739" s="1"/>
      <c r="Q739" s="1"/>
      <c r="R739" s="1"/>
    </row>
    <row r="740">
      <c r="L740" s="1"/>
      <c r="M740" s="1"/>
      <c r="N740" s="1"/>
      <c r="O740" s="1"/>
      <c r="P740" s="1"/>
      <c r="Q740" s="1"/>
      <c r="R740" s="1"/>
    </row>
    <row r="741">
      <c r="L741" s="1"/>
      <c r="M741" s="1"/>
      <c r="N741" s="1"/>
      <c r="O741" s="1"/>
      <c r="P741" s="1"/>
      <c r="Q741" s="1"/>
      <c r="R741" s="1"/>
    </row>
    <row r="742">
      <c r="L742" s="1"/>
      <c r="M742" s="1"/>
      <c r="N742" s="1"/>
      <c r="O742" s="1"/>
      <c r="P742" s="1"/>
      <c r="Q742" s="1"/>
      <c r="R742" s="1"/>
    </row>
    <row r="743">
      <c r="L743" s="1"/>
      <c r="M743" s="1"/>
      <c r="N743" s="1"/>
      <c r="O743" s="1"/>
      <c r="P743" s="1"/>
      <c r="Q743" s="1"/>
      <c r="R743" s="1"/>
    </row>
    <row r="744">
      <c r="L744" s="1"/>
      <c r="M744" s="1"/>
      <c r="N744" s="1"/>
      <c r="O744" s="1"/>
      <c r="P744" s="1"/>
      <c r="Q744" s="1"/>
      <c r="R744" s="1"/>
    </row>
    <row r="745">
      <c r="L745" s="1"/>
      <c r="M745" s="1"/>
      <c r="N745" s="1"/>
      <c r="O745" s="1"/>
      <c r="P745" s="1"/>
      <c r="Q745" s="1"/>
      <c r="R745" s="1"/>
    </row>
    <row r="746">
      <c r="L746" s="1"/>
      <c r="M746" s="1"/>
      <c r="N746" s="1"/>
      <c r="O746" s="1"/>
      <c r="P746" s="1"/>
      <c r="Q746" s="1"/>
      <c r="R746" s="1"/>
    </row>
    <row r="747">
      <c r="L747" s="1"/>
      <c r="M747" s="1"/>
      <c r="N747" s="1"/>
      <c r="O747" s="1"/>
      <c r="P747" s="1"/>
      <c r="Q747" s="1"/>
      <c r="R747" s="1"/>
    </row>
    <row r="748">
      <c r="L748" s="1"/>
      <c r="M748" s="1"/>
      <c r="N748" s="1"/>
      <c r="O748" s="1"/>
      <c r="P748" s="1"/>
      <c r="Q748" s="1"/>
      <c r="R748" s="1"/>
    </row>
    <row r="749">
      <c r="L749" s="1"/>
      <c r="M749" s="1"/>
      <c r="N749" s="1"/>
      <c r="O749" s="1"/>
      <c r="P749" s="1"/>
      <c r="Q749" s="1"/>
      <c r="R749" s="1"/>
    </row>
    <row r="750">
      <c r="L750" s="1"/>
      <c r="M750" s="1"/>
      <c r="N750" s="1"/>
      <c r="O750" s="1"/>
      <c r="P750" s="1"/>
      <c r="Q750" s="1"/>
      <c r="R750" s="1"/>
    </row>
    <row r="751">
      <c r="L751" s="1"/>
      <c r="M751" s="1"/>
      <c r="N751" s="1"/>
      <c r="O751" s="1"/>
      <c r="P751" s="1"/>
      <c r="Q751" s="1"/>
      <c r="R751" s="1"/>
    </row>
    <row r="752">
      <c r="L752" s="1"/>
      <c r="M752" s="1"/>
      <c r="N752" s="1"/>
      <c r="O752" s="1"/>
      <c r="P752" s="1"/>
      <c r="Q752" s="1"/>
      <c r="R752" s="1"/>
    </row>
    <row r="753">
      <c r="L753" s="1"/>
      <c r="M753" s="1"/>
      <c r="N753" s="1"/>
      <c r="O753" s="1"/>
      <c r="P753" s="1"/>
      <c r="Q753" s="1"/>
      <c r="R753" s="1"/>
    </row>
    <row r="754">
      <c r="L754" s="1"/>
      <c r="M754" s="1"/>
      <c r="N754" s="1"/>
      <c r="O754" s="1"/>
      <c r="P754" s="1"/>
      <c r="Q754" s="1"/>
      <c r="R754" s="1"/>
    </row>
    <row r="755">
      <c r="L755" s="1"/>
      <c r="M755" s="1"/>
      <c r="N755" s="1"/>
      <c r="O755" s="1"/>
      <c r="P755" s="1"/>
      <c r="Q755" s="1"/>
      <c r="R755" s="1"/>
    </row>
    <row r="756">
      <c r="L756" s="1"/>
      <c r="M756" s="1"/>
      <c r="N756" s="1"/>
      <c r="O756" s="1"/>
      <c r="P756" s="1"/>
      <c r="Q756" s="1"/>
      <c r="R756" s="1"/>
    </row>
    <row r="757">
      <c r="L757" s="1"/>
      <c r="M757" s="1"/>
      <c r="N757" s="1"/>
      <c r="O757" s="1"/>
      <c r="P757" s="1"/>
      <c r="Q757" s="1"/>
      <c r="R757" s="1"/>
    </row>
    <row r="758">
      <c r="L758" s="1"/>
      <c r="M758" s="1"/>
      <c r="N758" s="1"/>
      <c r="O758" s="1"/>
      <c r="P758" s="1"/>
      <c r="Q758" s="1"/>
      <c r="R758" s="1"/>
    </row>
    <row r="759">
      <c r="L759" s="1"/>
      <c r="M759" s="1"/>
      <c r="N759" s="1"/>
      <c r="O759" s="1"/>
      <c r="P759" s="1"/>
      <c r="Q759" s="1"/>
      <c r="R759" s="1"/>
    </row>
    <row r="760">
      <c r="L760" s="1"/>
      <c r="M760" s="1"/>
      <c r="N760" s="1"/>
      <c r="O760" s="1"/>
      <c r="P760" s="1"/>
      <c r="Q760" s="1"/>
      <c r="R760" s="1"/>
    </row>
    <row r="761">
      <c r="L761" s="1"/>
      <c r="M761" s="1"/>
      <c r="N761" s="1"/>
      <c r="O761" s="1"/>
      <c r="P761" s="1"/>
      <c r="Q761" s="1"/>
      <c r="R761" s="1"/>
    </row>
    <row r="762">
      <c r="L762" s="1"/>
      <c r="M762" s="1"/>
      <c r="N762" s="1"/>
      <c r="O762" s="1"/>
      <c r="P762" s="1"/>
      <c r="Q762" s="1"/>
      <c r="R762" s="1"/>
    </row>
    <row r="763">
      <c r="L763" s="1"/>
      <c r="M763" s="1"/>
      <c r="N763" s="1"/>
      <c r="O763" s="1"/>
      <c r="P763" s="1"/>
      <c r="Q763" s="1"/>
      <c r="R763" s="1"/>
    </row>
    <row r="764">
      <c r="L764" s="1"/>
      <c r="M764" s="1"/>
      <c r="N764" s="1"/>
      <c r="O764" s="1"/>
      <c r="P764" s="1"/>
      <c r="Q764" s="1"/>
      <c r="R764" s="1"/>
    </row>
    <row r="765">
      <c r="L765" s="1"/>
      <c r="M765" s="1"/>
      <c r="N765" s="1"/>
      <c r="O765" s="1"/>
      <c r="P765" s="1"/>
      <c r="Q765" s="1"/>
      <c r="R765" s="1"/>
    </row>
    <row r="766">
      <c r="L766" s="1"/>
      <c r="M766" s="1"/>
      <c r="N766" s="1"/>
      <c r="O766" s="1"/>
      <c r="P766" s="1"/>
      <c r="Q766" s="1"/>
      <c r="R766" s="1"/>
    </row>
    <row r="767">
      <c r="L767" s="1"/>
      <c r="M767" s="1"/>
      <c r="N767" s="1"/>
      <c r="O767" s="1"/>
      <c r="P767" s="1"/>
      <c r="Q767" s="1"/>
      <c r="R767" s="1"/>
    </row>
    <row r="768">
      <c r="L768" s="1"/>
      <c r="M768" s="1"/>
      <c r="N768" s="1"/>
      <c r="O768" s="1"/>
      <c r="P768" s="1"/>
      <c r="Q768" s="1"/>
      <c r="R768" s="1"/>
    </row>
    <row r="769">
      <c r="L769" s="1"/>
      <c r="M769" s="1"/>
      <c r="N769" s="1"/>
      <c r="O769" s="1"/>
      <c r="P769" s="1"/>
      <c r="Q769" s="1"/>
      <c r="R769" s="1"/>
    </row>
    <row r="770">
      <c r="L770" s="1"/>
      <c r="M770" s="1"/>
      <c r="N770" s="1"/>
      <c r="O770" s="1"/>
      <c r="P770" s="1"/>
      <c r="Q770" s="1"/>
      <c r="R770" s="1"/>
    </row>
    <row r="771">
      <c r="L771" s="1"/>
      <c r="M771" s="1"/>
      <c r="N771" s="1"/>
      <c r="O771" s="1"/>
      <c r="P771" s="1"/>
      <c r="Q771" s="1"/>
      <c r="R771" s="1"/>
    </row>
    <row r="772">
      <c r="L772" s="1"/>
      <c r="M772" s="1"/>
      <c r="N772" s="1"/>
      <c r="O772" s="1"/>
      <c r="P772" s="1"/>
      <c r="Q772" s="1"/>
      <c r="R772" s="1"/>
    </row>
    <row r="773">
      <c r="L773" s="1"/>
      <c r="M773" s="1"/>
      <c r="N773" s="1"/>
      <c r="O773" s="1"/>
      <c r="P773" s="1"/>
      <c r="Q773" s="1"/>
      <c r="R773" s="1"/>
    </row>
    <row r="774">
      <c r="L774" s="1"/>
      <c r="M774" s="1"/>
      <c r="N774" s="1"/>
      <c r="O774" s="1"/>
      <c r="P774" s="1"/>
      <c r="Q774" s="1"/>
      <c r="R774" s="1"/>
    </row>
    <row r="775">
      <c r="L775" s="1"/>
      <c r="M775" s="1"/>
      <c r="N775" s="1"/>
      <c r="O775" s="1"/>
      <c r="P775" s="1"/>
      <c r="Q775" s="1"/>
      <c r="R775" s="1"/>
    </row>
    <row r="776">
      <c r="L776" s="1"/>
      <c r="M776" s="1"/>
      <c r="N776" s="1"/>
      <c r="O776" s="1"/>
      <c r="P776" s="1"/>
      <c r="Q776" s="1"/>
      <c r="R776" s="1"/>
    </row>
    <row r="777">
      <c r="L777" s="1"/>
      <c r="M777" s="1"/>
      <c r="N777" s="1"/>
      <c r="O777" s="1"/>
      <c r="P777" s="1"/>
      <c r="Q777" s="1"/>
      <c r="R777" s="1"/>
    </row>
    <row r="778">
      <c r="L778" s="1"/>
      <c r="M778" s="1"/>
      <c r="N778" s="1"/>
      <c r="O778" s="1"/>
      <c r="P778" s="1"/>
      <c r="Q778" s="1"/>
      <c r="R778" s="1"/>
    </row>
    <row r="779">
      <c r="L779" s="1"/>
      <c r="M779" s="1"/>
      <c r="N779" s="1"/>
      <c r="O779" s="1"/>
      <c r="P779" s="1"/>
      <c r="Q779" s="1"/>
      <c r="R779" s="1"/>
    </row>
    <row r="780">
      <c r="L780" s="1"/>
      <c r="M780" s="1"/>
      <c r="N780" s="1"/>
      <c r="O780" s="1"/>
      <c r="P780" s="1"/>
      <c r="Q780" s="1"/>
      <c r="R780" s="1"/>
    </row>
    <row r="781">
      <c r="L781" s="1"/>
      <c r="M781" s="1"/>
      <c r="N781" s="1"/>
      <c r="O781" s="1"/>
      <c r="P781" s="1"/>
      <c r="Q781" s="1"/>
      <c r="R781" s="1"/>
    </row>
    <row r="782">
      <c r="L782" s="1"/>
      <c r="M782" s="1"/>
      <c r="N782" s="1"/>
      <c r="O782" s="1"/>
      <c r="P782" s="1"/>
      <c r="Q782" s="1"/>
      <c r="R782" s="1"/>
    </row>
    <row r="783">
      <c r="L783" s="1"/>
      <c r="M783" s="1"/>
      <c r="N783" s="1"/>
      <c r="O783" s="1"/>
      <c r="P783" s="1"/>
      <c r="Q783" s="1"/>
      <c r="R783" s="1"/>
    </row>
    <row r="784">
      <c r="L784" s="1"/>
      <c r="M784" s="1"/>
      <c r="N784" s="1"/>
      <c r="O784" s="1"/>
      <c r="P784" s="1"/>
      <c r="Q784" s="1"/>
      <c r="R784" s="1"/>
    </row>
    <row r="785">
      <c r="L785" s="1"/>
      <c r="M785" s="1"/>
      <c r="N785" s="1"/>
      <c r="O785" s="1"/>
      <c r="P785" s="1"/>
      <c r="Q785" s="1"/>
      <c r="R785" s="1"/>
    </row>
    <row r="786">
      <c r="L786" s="1"/>
      <c r="M786" s="1"/>
      <c r="N786" s="1"/>
      <c r="O786" s="1"/>
      <c r="P786" s="1"/>
      <c r="Q786" s="1"/>
      <c r="R786" s="1"/>
    </row>
    <row r="787">
      <c r="L787" s="1"/>
      <c r="M787" s="1"/>
      <c r="N787" s="1"/>
      <c r="O787" s="1"/>
      <c r="P787" s="1"/>
      <c r="Q787" s="1"/>
      <c r="R787" s="1"/>
    </row>
    <row r="788">
      <c r="L788" s="1"/>
      <c r="M788" s="1"/>
      <c r="N788" s="1"/>
      <c r="O788" s="1"/>
      <c r="P788" s="1"/>
      <c r="Q788" s="1"/>
      <c r="R788" s="1"/>
    </row>
    <row r="789">
      <c r="L789" s="1"/>
      <c r="M789" s="1"/>
      <c r="N789" s="1"/>
      <c r="O789" s="1"/>
      <c r="P789" s="1"/>
      <c r="Q789" s="1"/>
      <c r="R789" s="1"/>
    </row>
    <row r="790">
      <c r="L790" s="1"/>
      <c r="M790" s="1"/>
      <c r="N790" s="1"/>
      <c r="O790" s="1"/>
      <c r="P790" s="1"/>
      <c r="Q790" s="1"/>
      <c r="R790" s="1"/>
    </row>
    <row r="791">
      <c r="L791" s="1"/>
      <c r="M791" s="1"/>
      <c r="N791" s="1"/>
      <c r="O791" s="1"/>
      <c r="P791" s="1"/>
      <c r="Q791" s="1"/>
      <c r="R791" s="1"/>
    </row>
    <row r="792">
      <c r="L792" s="1"/>
      <c r="M792" s="1"/>
      <c r="N792" s="1"/>
      <c r="O792" s="1"/>
      <c r="P792" s="1"/>
      <c r="Q792" s="1"/>
      <c r="R792" s="1"/>
    </row>
    <row r="793">
      <c r="L793" s="1"/>
      <c r="M793" s="1"/>
      <c r="N793" s="1"/>
      <c r="O793" s="1"/>
      <c r="P793" s="1"/>
      <c r="Q793" s="1"/>
      <c r="R793" s="1"/>
    </row>
    <row r="794">
      <c r="L794" s="1"/>
      <c r="M794" s="1"/>
      <c r="N794" s="1"/>
      <c r="O794" s="1"/>
      <c r="P794" s="1"/>
      <c r="Q794" s="1"/>
      <c r="R794" s="1"/>
    </row>
    <row r="795">
      <c r="L795" s="1"/>
      <c r="M795" s="1"/>
      <c r="N795" s="1"/>
      <c r="O795" s="1"/>
      <c r="P795" s="1"/>
      <c r="Q795" s="1"/>
      <c r="R795" s="1"/>
    </row>
    <row r="796">
      <c r="L796" s="1"/>
      <c r="M796" s="1"/>
      <c r="N796" s="1"/>
      <c r="O796" s="1"/>
      <c r="P796" s="1"/>
      <c r="Q796" s="1"/>
      <c r="R796" s="1"/>
    </row>
    <row r="797">
      <c r="L797" s="1"/>
      <c r="M797" s="1"/>
      <c r="N797" s="1"/>
      <c r="O797" s="1"/>
      <c r="P797" s="1"/>
      <c r="Q797" s="1"/>
      <c r="R797" s="1"/>
    </row>
    <row r="798">
      <c r="L798" s="1"/>
      <c r="M798" s="1"/>
      <c r="N798" s="1"/>
      <c r="O798" s="1"/>
      <c r="P798" s="1"/>
      <c r="Q798" s="1"/>
      <c r="R798" s="1"/>
    </row>
    <row r="799">
      <c r="L799" s="1"/>
      <c r="M799" s="1"/>
      <c r="N799" s="1"/>
      <c r="O799" s="1"/>
      <c r="P799" s="1"/>
      <c r="Q799" s="1"/>
      <c r="R799" s="1"/>
    </row>
    <row r="800">
      <c r="L800" s="1"/>
      <c r="M800" s="1"/>
      <c r="N800" s="1"/>
      <c r="O800" s="1"/>
      <c r="P800" s="1"/>
      <c r="Q800" s="1"/>
      <c r="R800" s="1"/>
    </row>
    <row r="801">
      <c r="L801" s="1"/>
      <c r="M801" s="1"/>
      <c r="N801" s="1"/>
      <c r="O801" s="1"/>
      <c r="P801" s="1"/>
      <c r="Q801" s="1"/>
      <c r="R801" s="1"/>
    </row>
    <row r="802">
      <c r="L802" s="1"/>
      <c r="M802" s="1"/>
      <c r="N802" s="1"/>
      <c r="O802" s="1"/>
      <c r="P802" s="1"/>
      <c r="Q802" s="1"/>
      <c r="R802" s="1"/>
    </row>
    <row r="803">
      <c r="L803" s="1"/>
      <c r="M803" s="1"/>
      <c r="N803" s="1"/>
      <c r="O803" s="1"/>
      <c r="P803" s="1"/>
      <c r="Q803" s="1"/>
      <c r="R803" s="1"/>
    </row>
    <row r="804">
      <c r="L804" s="1"/>
      <c r="M804" s="1"/>
      <c r="N804" s="1"/>
      <c r="O804" s="1"/>
      <c r="P804" s="1"/>
      <c r="Q804" s="1"/>
      <c r="R804" s="1"/>
    </row>
    <row r="805">
      <c r="L805" s="1"/>
      <c r="M805" s="1"/>
      <c r="N805" s="1"/>
      <c r="O805" s="1"/>
      <c r="P805" s="1"/>
      <c r="Q805" s="1"/>
      <c r="R805" s="1"/>
    </row>
    <row r="806">
      <c r="L806" s="1"/>
      <c r="M806" s="1"/>
      <c r="N806" s="1"/>
      <c r="O806" s="1"/>
      <c r="P806" s="1"/>
      <c r="Q806" s="1"/>
      <c r="R806" s="1"/>
    </row>
    <row r="807">
      <c r="L807" s="1"/>
      <c r="M807" s="1"/>
      <c r="N807" s="1"/>
      <c r="O807" s="1"/>
      <c r="P807" s="1"/>
      <c r="Q807" s="1"/>
      <c r="R807" s="1"/>
    </row>
    <row r="808">
      <c r="L808" s="1"/>
      <c r="M808" s="1"/>
      <c r="N808" s="1"/>
      <c r="O808" s="1"/>
      <c r="P808" s="1"/>
      <c r="Q808" s="1"/>
      <c r="R808" s="1"/>
    </row>
    <row r="809">
      <c r="L809" s="1"/>
      <c r="M809" s="1"/>
      <c r="N809" s="1"/>
      <c r="O809" s="1"/>
      <c r="P809" s="1"/>
      <c r="Q809" s="1"/>
      <c r="R809" s="1"/>
    </row>
    <row r="810">
      <c r="L810" s="1"/>
      <c r="M810" s="1"/>
      <c r="N810" s="1"/>
      <c r="O810" s="1"/>
      <c r="P810" s="1"/>
      <c r="Q810" s="1"/>
      <c r="R810" s="1"/>
    </row>
    <row r="811">
      <c r="L811" s="1"/>
      <c r="M811" s="1"/>
      <c r="N811" s="1"/>
      <c r="O811" s="1"/>
      <c r="P811" s="1"/>
      <c r="Q811" s="1"/>
      <c r="R811" s="1"/>
    </row>
    <row r="812">
      <c r="L812" s="1"/>
      <c r="M812" s="1"/>
      <c r="N812" s="1"/>
      <c r="O812" s="1"/>
      <c r="P812" s="1"/>
      <c r="Q812" s="1"/>
      <c r="R812" s="1"/>
    </row>
    <row r="813">
      <c r="L813" s="1"/>
      <c r="M813" s="1"/>
      <c r="N813" s="1"/>
      <c r="O813" s="1"/>
      <c r="P813" s="1"/>
      <c r="Q813" s="1"/>
      <c r="R813" s="1"/>
    </row>
    <row r="814">
      <c r="L814" s="1"/>
      <c r="M814" s="1"/>
      <c r="N814" s="1"/>
      <c r="O814" s="1"/>
      <c r="P814" s="1"/>
      <c r="Q814" s="1"/>
      <c r="R814" s="1"/>
    </row>
    <row r="815">
      <c r="L815" s="1"/>
      <c r="M815" s="1"/>
      <c r="N815" s="1"/>
      <c r="O815" s="1"/>
      <c r="P815" s="1"/>
      <c r="Q815" s="1"/>
      <c r="R815" s="1"/>
    </row>
    <row r="816">
      <c r="L816" s="1"/>
      <c r="M816" s="1"/>
      <c r="N816" s="1"/>
      <c r="O816" s="1"/>
      <c r="P816" s="1"/>
      <c r="Q816" s="1"/>
      <c r="R816" s="1"/>
    </row>
    <row r="817">
      <c r="L817" s="1"/>
      <c r="M817" s="1"/>
      <c r="N817" s="1"/>
      <c r="O817" s="1"/>
      <c r="P817" s="1"/>
      <c r="Q817" s="1"/>
      <c r="R817" s="1"/>
    </row>
    <row r="818">
      <c r="L818" s="1"/>
      <c r="M818" s="1"/>
      <c r="N818" s="1"/>
      <c r="O818" s="1"/>
      <c r="P818" s="1"/>
      <c r="Q818" s="1"/>
      <c r="R818" s="1"/>
    </row>
    <row r="819">
      <c r="L819" s="1"/>
      <c r="M819" s="1"/>
      <c r="N819" s="1"/>
      <c r="O819" s="1"/>
      <c r="P819" s="1"/>
      <c r="Q819" s="1"/>
      <c r="R819" s="1"/>
    </row>
    <row r="820">
      <c r="L820" s="1"/>
      <c r="M820" s="1"/>
      <c r="N820" s="1"/>
      <c r="O820" s="1"/>
      <c r="P820" s="1"/>
      <c r="Q820" s="1"/>
      <c r="R820" s="1"/>
    </row>
    <row r="821">
      <c r="L821" s="1"/>
      <c r="M821" s="1"/>
      <c r="N821" s="1"/>
      <c r="O821" s="1"/>
      <c r="P821" s="1"/>
      <c r="Q821" s="1"/>
      <c r="R821" s="1"/>
    </row>
    <row r="822">
      <c r="L822" s="1"/>
      <c r="M822" s="1"/>
      <c r="N822" s="1"/>
      <c r="O822" s="1"/>
      <c r="P822" s="1"/>
      <c r="Q822" s="1"/>
      <c r="R822" s="1"/>
    </row>
    <row r="823">
      <c r="L823" s="1"/>
      <c r="M823" s="1"/>
      <c r="N823" s="1"/>
      <c r="O823" s="1"/>
      <c r="P823" s="1"/>
      <c r="Q823" s="1"/>
      <c r="R823" s="1"/>
    </row>
    <row r="824">
      <c r="L824" s="1"/>
      <c r="M824" s="1"/>
      <c r="N824" s="1"/>
      <c r="O824" s="1"/>
      <c r="P824" s="1"/>
      <c r="Q824" s="1"/>
      <c r="R824" s="1"/>
    </row>
    <row r="825">
      <c r="L825" s="1"/>
      <c r="M825" s="1"/>
      <c r="N825" s="1"/>
      <c r="O825" s="1"/>
      <c r="P825" s="1"/>
      <c r="Q825" s="1"/>
      <c r="R825" s="1"/>
    </row>
    <row r="826">
      <c r="L826" s="1"/>
      <c r="M826" s="1"/>
      <c r="N826" s="1"/>
      <c r="O826" s="1"/>
      <c r="P826" s="1"/>
      <c r="Q826" s="1"/>
      <c r="R826" s="1"/>
    </row>
    <row r="827">
      <c r="L827" s="1"/>
      <c r="M827" s="1"/>
      <c r="N827" s="1"/>
      <c r="O827" s="1"/>
      <c r="P827" s="1"/>
      <c r="Q827" s="1"/>
      <c r="R827" s="1"/>
    </row>
    <row r="828">
      <c r="L828" s="1"/>
      <c r="M828" s="1"/>
      <c r="N828" s="1"/>
      <c r="O828" s="1"/>
      <c r="P828" s="1"/>
      <c r="Q828" s="1"/>
      <c r="R828" s="1"/>
    </row>
    <row r="829">
      <c r="L829" s="1"/>
      <c r="M829" s="1"/>
      <c r="N829" s="1"/>
      <c r="O829" s="1"/>
      <c r="P829" s="1"/>
      <c r="Q829" s="1"/>
      <c r="R829" s="1"/>
    </row>
    <row r="830">
      <c r="L830" s="1"/>
      <c r="M830" s="1"/>
      <c r="N830" s="1"/>
      <c r="O830" s="1"/>
      <c r="P830" s="1"/>
      <c r="Q830" s="1"/>
      <c r="R830" s="1"/>
    </row>
    <row r="831">
      <c r="L831" s="1"/>
      <c r="M831" s="1"/>
      <c r="N831" s="1"/>
      <c r="O831" s="1"/>
      <c r="P831" s="1"/>
      <c r="Q831" s="1"/>
      <c r="R831" s="1"/>
    </row>
    <row r="832">
      <c r="L832" s="1"/>
      <c r="M832" s="1"/>
      <c r="N832" s="1"/>
      <c r="O832" s="1"/>
      <c r="P832" s="1"/>
      <c r="Q832" s="1"/>
      <c r="R832" s="1"/>
    </row>
    <row r="833">
      <c r="L833" s="1"/>
      <c r="M833" s="1"/>
      <c r="N833" s="1"/>
      <c r="O833" s="1"/>
      <c r="P833" s="1"/>
      <c r="Q833" s="1"/>
      <c r="R833" s="1"/>
    </row>
    <row r="834">
      <c r="L834" s="1"/>
      <c r="M834" s="1"/>
      <c r="N834" s="1"/>
      <c r="O834" s="1"/>
      <c r="P834" s="1"/>
      <c r="Q834" s="1"/>
      <c r="R834" s="1"/>
    </row>
    <row r="835">
      <c r="L835" s="1"/>
      <c r="M835" s="1"/>
      <c r="N835" s="1"/>
      <c r="O835" s="1"/>
      <c r="P835" s="1"/>
      <c r="Q835" s="1"/>
      <c r="R835" s="1"/>
    </row>
    <row r="836">
      <c r="L836" s="1"/>
      <c r="M836" s="1"/>
      <c r="N836" s="1"/>
      <c r="O836" s="1"/>
      <c r="P836" s="1"/>
      <c r="Q836" s="1"/>
      <c r="R836" s="1"/>
    </row>
    <row r="837">
      <c r="L837" s="1"/>
      <c r="M837" s="1"/>
      <c r="N837" s="1"/>
      <c r="O837" s="1"/>
      <c r="P837" s="1"/>
      <c r="Q837" s="1"/>
      <c r="R837" s="1"/>
    </row>
    <row r="838">
      <c r="L838" s="1"/>
      <c r="M838" s="1"/>
      <c r="N838" s="1"/>
      <c r="O838" s="1"/>
      <c r="P838" s="1"/>
      <c r="Q838" s="1"/>
      <c r="R838" s="1"/>
    </row>
    <row r="839">
      <c r="L839" s="1"/>
      <c r="M839" s="1"/>
      <c r="N839" s="1"/>
      <c r="O839" s="1"/>
      <c r="P839" s="1"/>
      <c r="Q839" s="1"/>
      <c r="R839" s="1"/>
    </row>
    <row r="840">
      <c r="L840" s="1"/>
      <c r="M840" s="1"/>
      <c r="N840" s="1"/>
      <c r="O840" s="1"/>
      <c r="P840" s="1"/>
      <c r="Q840" s="1"/>
      <c r="R840" s="1"/>
    </row>
    <row r="841">
      <c r="L841" s="1"/>
      <c r="M841" s="1"/>
      <c r="N841" s="1"/>
      <c r="O841" s="1"/>
      <c r="P841" s="1"/>
      <c r="Q841" s="1"/>
      <c r="R841" s="1"/>
    </row>
    <row r="842">
      <c r="L842" s="1"/>
      <c r="M842" s="1"/>
      <c r="N842" s="1"/>
      <c r="O842" s="1"/>
      <c r="P842" s="1"/>
      <c r="Q842" s="1"/>
      <c r="R842" s="1"/>
    </row>
    <row r="843">
      <c r="L843" s="1"/>
      <c r="M843" s="1"/>
      <c r="N843" s="1"/>
      <c r="O843" s="1"/>
      <c r="P843" s="1"/>
      <c r="Q843" s="1"/>
      <c r="R843" s="1"/>
    </row>
    <row r="844">
      <c r="L844" s="1"/>
      <c r="M844" s="1"/>
      <c r="N844" s="1"/>
      <c r="O844" s="1"/>
      <c r="P844" s="1"/>
      <c r="Q844" s="1"/>
      <c r="R844" s="1"/>
    </row>
    <row r="845">
      <c r="L845" s="1"/>
      <c r="M845" s="1"/>
      <c r="N845" s="1"/>
      <c r="O845" s="1"/>
      <c r="P845" s="1"/>
      <c r="Q845" s="1"/>
      <c r="R845" s="1"/>
    </row>
    <row r="846">
      <c r="L846" s="1"/>
      <c r="M846" s="1"/>
      <c r="N846" s="1"/>
      <c r="O846" s="1"/>
      <c r="P846" s="1"/>
      <c r="Q846" s="1"/>
      <c r="R846" s="1"/>
    </row>
    <row r="847">
      <c r="L847" s="1"/>
      <c r="M847" s="1"/>
      <c r="N847" s="1"/>
      <c r="O847" s="1"/>
      <c r="P847" s="1"/>
      <c r="Q847" s="1"/>
      <c r="R847" s="1"/>
    </row>
    <row r="848">
      <c r="L848" s="1"/>
      <c r="M848" s="1"/>
      <c r="N848" s="1"/>
      <c r="O848" s="1"/>
      <c r="P848" s="1"/>
      <c r="Q848" s="1"/>
      <c r="R848" s="1"/>
    </row>
    <row r="849">
      <c r="L849" s="1"/>
      <c r="M849" s="1"/>
      <c r="N849" s="1"/>
      <c r="O849" s="1"/>
      <c r="P849" s="1"/>
      <c r="Q849" s="1"/>
      <c r="R849" s="1"/>
    </row>
    <row r="850">
      <c r="L850" s="1"/>
      <c r="M850" s="1"/>
      <c r="N850" s="1"/>
      <c r="O850" s="1"/>
      <c r="P850" s="1"/>
      <c r="Q850" s="1"/>
      <c r="R850" s="1"/>
    </row>
    <row r="851">
      <c r="L851" s="1"/>
      <c r="M851" s="1"/>
      <c r="N851" s="1"/>
      <c r="O851" s="1"/>
      <c r="P851" s="1"/>
      <c r="Q851" s="1"/>
      <c r="R851" s="1"/>
    </row>
    <row r="852">
      <c r="L852" s="1"/>
      <c r="M852" s="1"/>
      <c r="N852" s="1"/>
      <c r="O852" s="1"/>
      <c r="P852" s="1"/>
      <c r="Q852" s="1"/>
      <c r="R852" s="1"/>
    </row>
    <row r="853">
      <c r="L853" s="1"/>
      <c r="M853" s="1"/>
      <c r="N853" s="1"/>
      <c r="O853" s="1"/>
      <c r="P853" s="1"/>
      <c r="Q853" s="1"/>
      <c r="R853" s="1"/>
    </row>
    <row r="854">
      <c r="L854" s="1"/>
      <c r="M854" s="1"/>
      <c r="N854" s="1"/>
      <c r="O854" s="1"/>
      <c r="P854" s="1"/>
      <c r="Q854" s="1"/>
      <c r="R854" s="1"/>
    </row>
    <row r="855">
      <c r="L855" s="1"/>
      <c r="M855" s="1"/>
      <c r="N855" s="1"/>
      <c r="O855" s="1"/>
      <c r="P855" s="1"/>
      <c r="Q855" s="1"/>
      <c r="R855" s="1"/>
    </row>
    <row r="856">
      <c r="L856" s="1"/>
      <c r="M856" s="1"/>
      <c r="N856" s="1"/>
      <c r="O856" s="1"/>
      <c r="P856" s="1"/>
      <c r="Q856" s="1"/>
      <c r="R856" s="1"/>
    </row>
    <row r="857">
      <c r="L857" s="1"/>
      <c r="M857" s="1"/>
      <c r="N857" s="1"/>
      <c r="O857" s="1"/>
      <c r="P857" s="1"/>
      <c r="Q857" s="1"/>
      <c r="R857" s="1"/>
    </row>
    <row r="858">
      <c r="L858" s="1"/>
      <c r="M858" s="1"/>
      <c r="N858" s="1"/>
      <c r="O858" s="1"/>
      <c r="P858" s="1"/>
      <c r="Q858" s="1"/>
      <c r="R858" s="1"/>
    </row>
    <row r="859">
      <c r="L859" s="1"/>
      <c r="M859" s="1"/>
      <c r="N859" s="1"/>
      <c r="O859" s="1"/>
      <c r="P859" s="1"/>
      <c r="Q859" s="1"/>
      <c r="R859" s="1"/>
    </row>
    <row r="860">
      <c r="L860" s="1"/>
      <c r="M860" s="1"/>
      <c r="N860" s="1"/>
      <c r="O860" s="1"/>
      <c r="P860" s="1"/>
      <c r="Q860" s="1"/>
      <c r="R860" s="1"/>
    </row>
    <row r="861">
      <c r="L861" s="1"/>
      <c r="M861" s="1"/>
      <c r="N861" s="1"/>
      <c r="O861" s="1"/>
      <c r="P861" s="1"/>
      <c r="Q861" s="1"/>
      <c r="R861" s="1"/>
    </row>
    <row r="862">
      <c r="L862" s="1"/>
      <c r="M862" s="1"/>
      <c r="N862" s="1"/>
      <c r="O862" s="1"/>
      <c r="P862" s="1"/>
      <c r="Q862" s="1"/>
      <c r="R862" s="1"/>
    </row>
    <row r="863">
      <c r="L863" s="1"/>
      <c r="M863" s="1"/>
      <c r="N863" s="1"/>
      <c r="O863" s="1"/>
      <c r="P863" s="1"/>
      <c r="Q863" s="1"/>
      <c r="R863" s="1"/>
    </row>
    <row r="864">
      <c r="L864" s="1"/>
      <c r="M864" s="1"/>
      <c r="N864" s="1"/>
      <c r="O864" s="1"/>
      <c r="P864" s="1"/>
      <c r="Q864" s="1"/>
      <c r="R864" s="1"/>
    </row>
    <row r="865">
      <c r="L865" s="1"/>
      <c r="M865" s="1"/>
      <c r="N865" s="1"/>
      <c r="O865" s="1"/>
      <c r="P865" s="1"/>
      <c r="Q865" s="1"/>
      <c r="R865" s="1"/>
    </row>
    <row r="866">
      <c r="L866" s="1"/>
      <c r="M866" s="1"/>
      <c r="N866" s="1"/>
      <c r="O866" s="1"/>
      <c r="P866" s="1"/>
      <c r="Q866" s="1"/>
      <c r="R866" s="1"/>
    </row>
    <row r="867">
      <c r="L867" s="1"/>
      <c r="M867" s="1"/>
      <c r="N867" s="1"/>
      <c r="O867" s="1"/>
      <c r="P867" s="1"/>
      <c r="Q867" s="1"/>
      <c r="R867" s="1"/>
    </row>
    <row r="868">
      <c r="L868" s="1"/>
      <c r="M868" s="1"/>
      <c r="N868" s="1"/>
      <c r="O868" s="1"/>
      <c r="P868" s="1"/>
      <c r="Q868" s="1"/>
      <c r="R868" s="1"/>
    </row>
    <row r="869">
      <c r="L869" s="1"/>
      <c r="M869" s="1"/>
      <c r="N869" s="1"/>
      <c r="O869" s="1"/>
      <c r="P869" s="1"/>
      <c r="Q869" s="1"/>
      <c r="R869" s="1"/>
    </row>
    <row r="870">
      <c r="L870" s="1"/>
      <c r="M870" s="1"/>
      <c r="N870" s="1"/>
      <c r="O870" s="1"/>
      <c r="P870" s="1"/>
      <c r="Q870" s="1"/>
      <c r="R870" s="1"/>
    </row>
    <row r="871">
      <c r="L871" s="1"/>
      <c r="M871" s="1"/>
      <c r="N871" s="1"/>
      <c r="O871" s="1"/>
      <c r="P871" s="1"/>
      <c r="Q871" s="1"/>
      <c r="R871" s="1"/>
    </row>
    <row r="872">
      <c r="L872" s="1"/>
      <c r="M872" s="1"/>
      <c r="N872" s="1"/>
      <c r="O872" s="1"/>
      <c r="P872" s="1"/>
      <c r="Q872" s="1"/>
      <c r="R872" s="1"/>
    </row>
    <row r="873">
      <c r="L873" s="1"/>
      <c r="M873" s="1"/>
      <c r="N873" s="1"/>
      <c r="O873" s="1"/>
      <c r="P873" s="1"/>
      <c r="Q873" s="1"/>
      <c r="R873" s="1"/>
    </row>
    <row r="874">
      <c r="L874" s="1"/>
      <c r="M874" s="1"/>
      <c r="N874" s="1"/>
      <c r="O874" s="1"/>
      <c r="P874" s="1"/>
      <c r="Q874" s="1"/>
      <c r="R874" s="1"/>
    </row>
    <row r="875">
      <c r="L875" s="1"/>
      <c r="M875" s="1"/>
      <c r="N875" s="1"/>
      <c r="O875" s="1"/>
      <c r="P875" s="1"/>
      <c r="Q875" s="1"/>
      <c r="R875" s="1"/>
    </row>
    <row r="876">
      <c r="L876" s="1"/>
      <c r="M876" s="1"/>
      <c r="N876" s="1"/>
      <c r="O876" s="1"/>
      <c r="P876" s="1"/>
      <c r="Q876" s="1"/>
      <c r="R876" s="1"/>
    </row>
    <row r="877">
      <c r="L877" s="1"/>
      <c r="M877" s="1"/>
      <c r="N877" s="1"/>
      <c r="O877" s="1"/>
      <c r="P877" s="1"/>
      <c r="Q877" s="1"/>
      <c r="R877" s="1"/>
    </row>
    <row r="878">
      <c r="L878" s="1"/>
      <c r="M878" s="1"/>
      <c r="N878" s="1"/>
      <c r="O878" s="1"/>
      <c r="P878" s="1"/>
      <c r="Q878" s="1"/>
      <c r="R878" s="1"/>
    </row>
    <row r="879">
      <c r="L879" s="1"/>
      <c r="M879" s="1"/>
      <c r="N879" s="1"/>
      <c r="O879" s="1"/>
      <c r="P879" s="1"/>
      <c r="Q879" s="1"/>
      <c r="R879" s="1"/>
    </row>
    <row r="880">
      <c r="L880" s="1"/>
      <c r="M880" s="1"/>
      <c r="N880" s="1"/>
      <c r="O880" s="1"/>
      <c r="P880" s="1"/>
      <c r="Q880" s="1"/>
      <c r="R880" s="1"/>
    </row>
    <row r="881">
      <c r="L881" s="1"/>
      <c r="M881" s="1"/>
      <c r="N881" s="1"/>
      <c r="O881" s="1"/>
      <c r="P881" s="1"/>
      <c r="Q881" s="1"/>
      <c r="R881" s="1"/>
    </row>
    <row r="882">
      <c r="L882" s="1"/>
      <c r="M882" s="1"/>
      <c r="N882" s="1"/>
      <c r="O882" s="1"/>
      <c r="P882" s="1"/>
      <c r="Q882" s="1"/>
      <c r="R882" s="1"/>
    </row>
    <row r="883">
      <c r="L883" s="1"/>
      <c r="M883" s="1"/>
      <c r="N883" s="1"/>
      <c r="O883" s="1"/>
      <c r="P883" s="1"/>
      <c r="Q883" s="1"/>
      <c r="R883" s="1"/>
    </row>
    <row r="884">
      <c r="L884" s="1"/>
      <c r="M884" s="1"/>
      <c r="N884" s="1"/>
      <c r="O884" s="1"/>
      <c r="P884" s="1"/>
      <c r="Q884" s="1"/>
      <c r="R884" s="1"/>
    </row>
    <row r="885">
      <c r="L885" s="1"/>
      <c r="M885" s="1"/>
      <c r="N885" s="1"/>
      <c r="O885" s="1"/>
      <c r="P885" s="1"/>
      <c r="Q885" s="1"/>
      <c r="R885" s="1"/>
    </row>
    <row r="886">
      <c r="L886" s="1"/>
      <c r="M886" s="1"/>
      <c r="N886" s="1"/>
      <c r="O886" s="1"/>
      <c r="P886" s="1"/>
      <c r="Q886" s="1"/>
      <c r="R886" s="1"/>
    </row>
    <row r="887">
      <c r="L887" s="1"/>
      <c r="M887" s="1"/>
      <c r="N887" s="1"/>
      <c r="O887" s="1"/>
      <c r="P887" s="1"/>
      <c r="Q887" s="1"/>
      <c r="R887" s="1"/>
    </row>
    <row r="888">
      <c r="L888" s="1"/>
      <c r="M888" s="1"/>
      <c r="N888" s="1"/>
      <c r="O888" s="1"/>
      <c r="P888" s="1"/>
      <c r="Q888" s="1"/>
      <c r="R888" s="1"/>
    </row>
    <row r="889">
      <c r="L889" s="1"/>
      <c r="M889" s="1"/>
      <c r="N889" s="1"/>
      <c r="O889" s="1"/>
      <c r="P889" s="1"/>
      <c r="Q889" s="1"/>
      <c r="R889" s="1"/>
    </row>
    <row r="890">
      <c r="L890" s="1"/>
      <c r="M890" s="1"/>
      <c r="N890" s="1"/>
      <c r="O890" s="1"/>
      <c r="P890" s="1"/>
      <c r="Q890" s="1"/>
      <c r="R890" s="1"/>
    </row>
    <row r="891">
      <c r="L891" s="1"/>
      <c r="M891" s="1"/>
      <c r="N891" s="1"/>
      <c r="O891" s="1"/>
      <c r="P891" s="1"/>
      <c r="Q891" s="1"/>
      <c r="R891" s="1"/>
    </row>
    <row r="892">
      <c r="L892" s="1"/>
      <c r="M892" s="1"/>
      <c r="N892" s="1"/>
      <c r="O892" s="1"/>
      <c r="P892" s="1"/>
      <c r="Q892" s="1"/>
      <c r="R892" s="1"/>
    </row>
    <row r="893">
      <c r="L893" s="1"/>
      <c r="M893" s="1"/>
      <c r="N893" s="1"/>
      <c r="O893" s="1"/>
      <c r="P893" s="1"/>
      <c r="Q893" s="1"/>
      <c r="R893" s="1"/>
    </row>
    <row r="894">
      <c r="L894" s="1"/>
      <c r="M894" s="1"/>
      <c r="N894" s="1"/>
      <c r="O894" s="1"/>
      <c r="P894" s="1"/>
      <c r="Q894" s="1"/>
      <c r="R894" s="1"/>
    </row>
    <row r="895">
      <c r="L895" s="1"/>
      <c r="M895" s="1"/>
      <c r="N895" s="1"/>
      <c r="O895" s="1"/>
      <c r="P895" s="1"/>
      <c r="Q895" s="1"/>
      <c r="R895" s="1"/>
    </row>
    <row r="896">
      <c r="L896" s="1"/>
      <c r="M896" s="1"/>
      <c r="N896" s="1"/>
      <c r="O896" s="1"/>
      <c r="P896" s="1"/>
      <c r="Q896" s="1"/>
      <c r="R896" s="1"/>
    </row>
    <row r="897">
      <c r="L897" s="1"/>
      <c r="M897" s="1"/>
      <c r="N897" s="1"/>
      <c r="O897" s="1"/>
      <c r="P897" s="1"/>
      <c r="Q897" s="1"/>
      <c r="R897" s="1"/>
    </row>
    <row r="898">
      <c r="L898" s="1"/>
      <c r="M898" s="1"/>
      <c r="N898" s="1"/>
      <c r="O898" s="1"/>
      <c r="P898" s="1"/>
      <c r="Q898" s="1"/>
      <c r="R898" s="1"/>
    </row>
    <row r="899">
      <c r="L899" s="1"/>
      <c r="M899" s="1"/>
      <c r="N899" s="1"/>
      <c r="O899" s="1"/>
      <c r="P899" s="1"/>
      <c r="Q899" s="1"/>
      <c r="R899" s="1"/>
    </row>
    <row r="900">
      <c r="L900" s="1"/>
      <c r="M900" s="1"/>
      <c r="N900" s="1"/>
      <c r="O900" s="1"/>
      <c r="P900" s="1"/>
      <c r="Q900" s="1"/>
      <c r="R900" s="1"/>
    </row>
    <row r="901">
      <c r="L901" s="1"/>
      <c r="M901" s="1"/>
      <c r="N901" s="1"/>
      <c r="O901" s="1"/>
      <c r="P901" s="1"/>
      <c r="Q901" s="1"/>
      <c r="R901" s="1"/>
    </row>
    <row r="902">
      <c r="L902" s="1"/>
      <c r="M902" s="1"/>
      <c r="N902" s="1"/>
      <c r="O902" s="1"/>
      <c r="P902" s="1"/>
      <c r="Q902" s="1"/>
      <c r="R902" s="1"/>
    </row>
    <row r="903">
      <c r="L903" s="1"/>
      <c r="M903" s="1"/>
      <c r="N903" s="1"/>
      <c r="O903" s="1"/>
      <c r="P903" s="1"/>
      <c r="Q903" s="1"/>
      <c r="R903" s="1"/>
    </row>
    <row r="904">
      <c r="L904" s="1"/>
      <c r="M904" s="1"/>
      <c r="N904" s="1"/>
      <c r="O904" s="1"/>
      <c r="P904" s="1"/>
      <c r="Q904" s="1"/>
      <c r="R904" s="1"/>
    </row>
    <row r="905">
      <c r="L905" s="1"/>
      <c r="M905" s="1"/>
      <c r="N905" s="1"/>
      <c r="O905" s="1"/>
      <c r="P905" s="1"/>
      <c r="Q905" s="1"/>
      <c r="R905" s="1"/>
    </row>
    <row r="906">
      <c r="L906" s="1"/>
      <c r="M906" s="1"/>
      <c r="N906" s="1"/>
      <c r="O906" s="1"/>
      <c r="P906" s="1"/>
      <c r="Q906" s="1"/>
      <c r="R906" s="1"/>
    </row>
    <row r="907">
      <c r="L907" s="1"/>
      <c r="M907" s="1"/>
      <c r="N907" s="1"/>
      <c r="O907" s="1"/>
      <c r="P907" s="1"/>
      <c r="Q907" s="1"/>
      <c r="R907" s="1"/>
    </row>
    <row r="908">
      <c r="L908" s="1"/>
      <c r="M908" s="1"/>
      <c r="N908" s="1"/>
      <c r="O908" s="1"/>
      <c r="P908" s="1"/>
      <c r="Q908" s="1"/>
      <c r="R908" s="1"/>
    </row>
    <row r="909">
      <c r="L909" s="1"/>
      <c r="M909" s="1"/>
      <c r="N909" s="1"/>
      <c r="O909" s="1"/>
      <c r="P909" s="1"/>
      <c r="Q909" s="1"/>
      <c r="R909" s="1"/>
    </row>
    <row r="910">
      <c r="L910" s="1"/>
      <c r="M910" s="1"/>
      <c r="N910" s="1"/>
      <c r="O910" s="1"/>
      <c r="P910" s="1"/>
      <c r="Q910" s="1"/>
      <c r="R910" s="1"/>
    </row>
    <row r="911">
      <c r="L911" s="1"/>
      <c r="M911" s="1"/>
      <c r="N911" s="1"/>
      <c r="O911" s="1"/>
      <c r="P911" s="1"/>
      <c r="Q911" s="1"/>
      <c r="R911" s="1"/>
    </row>
    <row r="912">
      <c r="L912" s="1"/>
      <c r="M912" s="1"/>
      <c r="N912" s="1"/>
      <c r="O912" s="1"/>
      <c r="P912" s="1"/>
      <c r="Q912" s="1"/>
      <c r="R912" s="1"/>
    </row>
    <row r="913">
      <c r="L913" s="1"/>
      <c r="M913" s="1"/>
      <c r="N913" s="1"/>
      <c r="O913" s="1"/>
      <c r="P913" s="1"/>
      <c r="Q913" s="1"/>
      <c r="R913" s="1"/>
    </row>
    <row r="914">
      <c r="L914" s="1"/>
      <c r="M914" s="1"/>
      <c r="N914" s="1"/>
      <c r="O914" s="1"/>
      <c r="P914" s="1"/>
      <c r="Q914" s="1"/>
      <c r="R914" s="1"/>
    </row>
    <row r="915">
      <c r="L915" s="1"/>
      <c r="M915" s="1"/>
      <c r="N915" s="1"/>
      <c r="O915" s="1"/>
      <c r="P915" s="1"/>
      <c r="Q915" s="1"/>
      <c r="R915" s="1"/>
    </row>
    <row r="916">
      <c r="L916" s="1"/>
      <c r="M916" s="1"/>
      <c r="N916" s="1"/>
      <c r="O916" s="1"/>
      <c r="P916" s="1"/>
      <c r="Q916" s="1"/>
      <c r="R916" s="1"/>
    </row>
    <row r="917">
      <c r="L917" s="1"/>
      <c r="M917" s="1"/>
      <c r="N917" s="1"/>
      <c r="O917" s="1"/>
      <c r="P917" s="1"/>
      <c r="Q917" s="1"/>
      <c r="R917" s="1"/>
    </row>
    <row r="918">
      <c r="L918" s="1"/>
      <c r="M918" s="1"/>
      <c r="N918" s="1"/>
      <c r="O918" s="1"/>
      <c r="P918" s="1"/>
      <c r="Q918" s="1"/>
      <c r="R918" s="1"/>
    </row>
    <row r="919">
      <c r="L919" s="1"/>
      <c r="M919" s="1"/>
      <c r="N919" s="1"/>
      <c r="O919" s="1"/>
      <c r="P919" s="1"/>
      <c r="Q919" s="1"/>
      <c r="R919" s="1"/>
    </row>
    <row r="920">
      <c r="L920" s="1"/>
      <c r="M920" s="1"/>
      <c r="N920" s="1"/>
      <c r="O920" s="1"/>
      <c r="P920" s="1"/>
      <c r="Q920" s="1"/>
      <c r="R920" s="1"/>
    </row>
    <row r="921">
      <c r="L921" s="1"/>
      <c r="M921" s="1"/>
      <c r="N921" s="1"/>
      <c r="O921" s="1"/>
      <c r="P921" s="1"/>
      <c r="Q921" s="1"/>
      <c r="R921" s="1"/>
    </row>
    <row r="922">
      <c r="L922" s="1"/>
      <c r="M922" s="1"/>
      <c r="N922" s="1"/>
      <c r="O922" s="1"/>
      <c r="P922" s="1"/>
      <c r="Q922" s="1"/>
      <c r="R922" s="1"/>
    </row>
    <row r="923">
      <c r="L923" s="1"/>
      <c r="M923" s="1"/>
      <c r="N923" s="1"/>
      <c r="O923" s="1"/>
      <c r="P923" s="1"/>
      <c r="Q923" s="1"/>
      <c r="R923" s="1"/>
    </row>
    <row r="924">
      <c r="L924" s="1"/>
      <c r="M924" s="1"/>
      <c r="N924" s="1"/>
      <c r="O924" s="1"/>
      <c r="P924" s="1"/>
      <c r="Q924" s="1"/>
      <c r="R924" s="1"/>
    </row>
    <row r="925">
      <c r="L925" s="1"/>
      <c r="M925" s="1"/>
      <c r="N925" s="1"/>
      <c r="O925" s="1"/>
      <c r="P925" s="1"/>
      <c r="Q925" s="1"/>
      <c r="R925" s="1"/>
    </row>
    <row r="926">
      <c r="L926" s="1"/>
      <c r="M926" s="1"/>
      <c r="N926" s="1"/>
      <c r="O926" s="1"/>
      <c r="P926" s="1"/>
      <c r="Q926" s="1"/>
      <c r="R926" s="1"/>
    </row>
    <row r="927">
      <c r="L927" s="1"/>
      <c r="M927" s="1"/>
      <c r="N927" s="1"/>
      <c r="O927" s="1"/>
      <c r="P927" s="1"/>
      <c r="Q927" s="1"/>
      <c r="R927" s="1"/>
    </row>
    <row r="928">
      <c r="L928" s="1"/>
      <c r="M928" s="1"/>
      <c r="N928" s="1"/>
      <c r="O928" s="1"/>
      <c r="P928" s="1"/>
      <c r="Q928" s="1"/>
      <c r="R928" s="1"/>
    </row>
    <row r="929">
      <c r="L929" s="1"/>
      <c r="M929" s="1"/>
      <c r="N929" s="1"/>
      <c r="O929" s="1"/>
      <c r="P929" s="1"/>
      <c r="Q929" s="1"/>
      <c r="R929" s="1"/>
    </row>
    <row r="930">
      <c r="L930" s="1"/>
      <c r="M930" s="1"/>
      <c r="N930" s="1"/>
      <c r="O930" s="1"/>
      <c r="P930" s="1"/>
      <c r="Q930" s="1"/>
      <c r="R930" s="1"/>
    </row>
    <row r="931">
      <c r="L931" s="1"/>
      <c r="M931" s="1"/>
      <c r="N931" s="1"/>
      <c r="O931" s="1"/>
      <c r="P931" s="1"/>
      <c r="Q931" s="1"/>
      <c r="R931" s="1"/>
    </row>
    <row r="932">
      <c r="L932" s="1"/>
      <c r="M932" s="1"/>
      <c r="N932" s="1"/>
      <c r="O932" s="1"/>
      <c r="P932" s="1"/>
      <c r="Q932" s="1"/>
      <c r="R932" s="1"/>
    </row>
    <row r="933">
      <c r="L933" s="1"/>
      <c r="M933" s="1"/>
      <c r="N933" s="1"/>
      <c r="O933" s="1"/>
      <c r="P933" s="1"/>
      <c r="Q933" s="1"/>
      <c r="R933" s="1"/>
    </row>
    <row r="934">
      <c r="L934" s="1"/>
      <c r="M934" s="1"/>
      <c r="N934" s="1"/>
      <c r="O934" s="1"/>
      <c r="P934" s="1"/>
      <c r="Q934" s="1"/>
      <c r="R934" s="1"/>
    </row>
    <row r="935">
      <c r="L935" s="1"/>
      <c r="M935" s="1"/>
      <c r="N935" s="1"/>
      <c r="O935" s="1"/>
      <c r="P935" s="1"/>
      <c r="Q935" s="1"/>
      <c r="R935" s="1"/>
    </row>
    <row r="936">
      <c r="L936" s="1"/>
      <c r="M936" s="1"/>
      <c r="N936" s="1"/>
      <c r="O936" s="1"/>
      <c r="P936" s="1"/>
      <c r="Q936" s="1"/>
      <c r="R936" s="1"/>
    </row>
    <row r="937">
      <c r="L937" s="1"/>
      <c r="M937" s="1"/>
      <c r="N937" s="1"/>
      <c r="O937" s="1"/>
      <c r="P937" s="1"/>
      <c r="Q937" s="1"/>
      <c r="R937" s="1"/>
    </row>
    <row r="938">
      <c r="L938" s="1"/>
      <c r="M938" s="1"/>
      <c r="N938" s="1"/>
      <c r="O938" s="1"/>
      <c r="P938" s="1"/>
      <c r="Q938" s="1"/>
      <c r="R938" s="1"/>
    </row>
    <row r="939">
      <c r="L939" s="1"/>
      <c r="M939" s="1"/>
      <c r="N939" s="1"/>
      <c r="O939" s="1"/>
      <c r="P939" s="1"/>
      <c r="Q939" s="1"/>
      <c r="R939" s="1"/>
    </row>
    <row r="940">
      <c r="L940" s="1"/>
      <c r="M940" s="1"/>
      <c r="N940" s="1"/>
      <c r="O940" s="1"/>
      <c r="P940" s="1"/>
      <c r="Q940" s="1"/>
      <c r="R940" s="1"/>
    </row>
    <row r="941">
      <c r="L941" s="1"/>
      <c r="M941" s="1"/>
      <c r="N941" s="1"/>
      <c r="O941" s="1"/>
      <c r="P941" s="1"/>
      <c r="Q941" s="1"/>
      <c r="R941" s="1"/>
    </row>
    <row r="942">
      <c r="L942" s="1"/>
      <c r="M942" s="1"/>
      <c r="N942" s="1"/>
      <c r="O942" s="1"/>
      <c r="P942" s="1"/>
      <c r="Q942" s="1"/>
      <c r="R942" s="1"/>
    </row>
    <row r="943">
      <c r="L943" s="1"/>
      <c r="M943" s="1"/>
      <c r="N943" s="1"/>
      <c r="O943" s="1"/>
      <c r="P943" s="1"/>
      <c r="Q943" s="1"/>
      <c r="R943" s="1"/>
    </row>
    <row r="944">
      <c r="L944" s="1"/>
      <c r="M944" s="1"/>
      <c r="N944" s="1"/>
      <c r="O944" s="1"/>
      <c r="P944" s="1"/>
      <c r="Q944" s="1"/>
      <c r="R944" s="1"/>
    </row>
    <row r="945">
      <c r="L945" s="1"/>
      <c r="M945" s="1"/>
      <c r="N945" s="1"/>
      <c r="O945" s="1"/>
      <c r="P945" s="1"/>
      <c r="Q945" s="1"/>
      <c r="R945" s="1"/>
    </row>
    <row r="946">
      <c r="L946" s="1"/>
      <c r="M946" s="1"/>
      <c r="N946" s="1"/>
      <c r="O946" s="1"/>
      <c r="P946" s="1"/>
      <c r="Q946" s="1"/>
      <c r="R946" s="1"/>
    </row>
    <row r="947">
      <c r="L947" s="1"/>
      <c r="M947" s="1"/>
      <c r="N947" s="1"/>
      <c r="O947" s="1"/>
      <c r="P947" s="1"/>
      <c r="Q947" s="1"/>
      <c r="R947" s="1"/>
    </row>
    <row r="948">
      <c r="L948" s="1"/>
      <c r="M948" s="1"/>
      <c r="N948" s="1"/>
      <c r="O948" s="1"/>
      <c r="P948" s="1"/>
      <c r="Q948" s="1"/>
      <c r="R948" s="1"/>
    </row>
    <row r="949">
      <c r="L949" s="1"/>
      <c r="M949" s="1"/>
      <c r="N949" s="1"/>
      <c r="O949" s="1"/>
      <c r="P949" s="1"/>
      <c r="Q949" s="1"/>
      <c r="R949" s="1"/>
    </row>
    <row r="950">
      <c r="L950" s="1"/>
      <c r="M950" s="1"/>
      <c r="N950" s="1"/>
      <c r="O950" s="1"/>
      <c r="P950" s="1"/>
      <c r="Q950" s="1"/>
      <c r="R950" s="1"/>
    </row>
    <row r="951">
      <c r="L951" s="1"/>
      <c r="M951" s="1"/>
      <c r="N951" s="1"/>
      <c r="O951" s="1"/>
      <c r="P951" s="1"/>
      <c r="Q951" s="1"/>
      <c r="R951" s="1"/>
    </row>
    <row r="952">
      <c r="L952" s="1"/>
      <c r="M952" s="1"/>
      <c r="N952" s="1"/>
      <c r="O952" s="1"/>
      <c r="P952" s="1"/>
      <c r="Q952" s="1"/>
      <c r="R952" s="1"/>
    </row>
    <row r="953">
      <c r="L953" s="1"/>
      <c r="M953" s="1"/>
      <c r="N953" s="1"/>
      <c r="O953" s="1"/>
      <c r="P953" s="1"/>
      <c r="Q953" s="1"/>
      <c r="R953" s="1"/>
    </row>
    <row r="954">
      <c r="L954" s="1"/>
      <c r="M954" s="1"/>
      <c r="N954" s="1"/>
      <c r="O954" s="1"/>
      <c r="P954" s="1"/>
      <c r="Q954" s="1"/>
      <c r="R954" s="1"/>
    </row>
    <row r="955">
      <c r="L955" s="1"/>
      <c r="M955" s="1"/>
      <c r="N955" s="1"/>
      <c r="O955" s="1"/>
      <c r="P955" s="1"/>
      <c r="Q955" s="1"/>
      <c r="R955" s="1"/>
    </row>
    <row r="956">
      <c r="L956" s="1"/>
      <c r="M956" s="1"/>
      <c r="N956" s="1"/>
      <c r="O956" s="1"/>
      <c r="P956" s="1"/>
      <c r="Q956" s="1"/>
      <c r="R956" s="1"/>
    </row>
    <row r="957">
      <c r="L957" s="1"/>
      <c r="M957" s="1"/>
      <c r="N957" s="1"/>
      <c r="O957" s="1"/>
      <c r="P957" s="1"/>
      <c r="Q957" s="1"/>
      <c r="R957" s="1"/>
    </row>
    <row r="958">
      <c r="L958" s="1"/>
      <c r="M958" s="1"/>
      <c r="N958" s="1"/>
      <c r="O958" s="1"/>
      <c r="P958" s="1"/>
      <c r="Q958" s="1"/>
      <c r="R958" s="1"/>
    </row>
    <row r="959">
      <c r="L959" s="1"/>
      <c r="M959" s="1"/>
      <c r="N959" s="1"/>
      <c r="O959" s="1"/>
      <c r="P959" s="1"/>
      <c r="Q959" s="1"/>
      <c r="R959" s="1"/>
    </row>
    <row r="960">
      <c r="L960" s="1"/>
      <c r="M960" s="1"/>
      <c r="N960" s="1"/>
      <c r="O960" s="1"/>
      <c r="P960" s="1"/>
      <c r="Q960" s="1"/>
      <c r="R960" s="1"/>
    </row>
    <row r="961">
      <c r="L961" s="1"/>
      <c r="M961" s="1"/>
      <c r="N961" s="1"/>
      <c r="O961" s="1"/>
      <c r="P961" s="1"/>
      <c r="Q961" s="1"/>
      <c r="R961" s="1"/>
    </row>
    <row r="962">
      <c r="L962" s="1"/>
      <c r="M962" s="1"/>
      <c r="N962" s="1"/>
      <c r="O962" s="1"/>
      <c r="P962" s="1"/>
      <c r="Q962" s="1"/>
      <c r="R962" s="1"/>
    </row>
    <row r="963">
      <c r="L963" s="1"/>
      <c r="M963" s="1"/>
      <c r="N963" s="1"/>
      <c r="O963" s="1"/>
      <c r="P963" s="1"/>
      <c r="Q963" s="1"/>
      <c r="R963" s="1"/>
    </row>
    <row r="964">
      <c r="L964" s="1"/>
      <c r="M964" s="1"/>
      <c r="N964" s="1"/>
      <c r="O964" s="1"/>
      <c r="P964" s="1"/>
      <c r="Q964" s="1"/>
      <c r="R964" s="1"/>
    </row>
    <row r="965">
      <c r="L965" s="1"/>
      <c r="M965" s="1"/>
      <c r="N965" s="1"/>
      <c r="O965" s="1"/>
      <c r="P965" s="1"/>
      <c r="Q965" s="1"/>
      <c r="R965" s="1"/>
    </row>
    <row r="966">
      <c r="L966" s="1"/>
      <c r="M966" s="1"/>
      <c r="N966" s="1"/>
      <c r="O966" s="1"/>
      <c r="P966" s="1"/>
      <c r="Q966" s="1"/>
      <c r="R966" s="1"/>
    </row>
    <row r="967">
      <c r="L967" s="1"/>
      <c r="M967" s="1"/>
      <c r="N967" s="1"/>
      <c r="O967" s="1"/>
      <c r="P967" s="1"/>
      <c r="Q967" s="1"/>
      <c r="R967" s="1"/>
    </row>
    <row r="968">
      <c r="L968" s="1"/>
      <c r="M968" s="1"/>
      <c r="N968" s="1"/>
      <c r="O968" s="1"/>
      <c r="P968" s="1"/>
      <c r="Q968" s="1"/>
      <c r="R968" s="1"/>
    </row>
    <row r="969">
      <c r="L969" s="1"/>
      <c r="M969" s="1"/>
      <c r="N969" s="1"/>
      <c r="O969" s="1"/>
      <c r="P969" s="1"/>
      <c r="Q969" s="1"/>
      <c r="R969" s="1"/>
    </row>
    <row r="970">
      <c r="L970" s="1"/>
      <c r="M970" s="1"/>
      <c r="N970" s="1"/>
      <c r="O970" s="1"/>
      <c r="P970" s="1"/>
      <c r="Q970" s="1"/>
      <c r="R970" s="1"/>
    </row>
    <row r="971">
      <c r="L971" s="1"/>
      <c r="M971" s="1"/>
      <c r="N971" s="1"/>
      <c r="O971" s="1"/>
      <c r="P971" s="1"/>
      <c r="Q971" s="1"/>
      <c r="R971" s="1"/>
    </row>
    <row r="972">
      <c r="L972" s="1"/>
      <c r="M972" s="1"/>
      <c r="N972" s="1"/>
      <c r="O972" s="1"/>
      <c r="P972" s="1"/>
      <c r="Q972" s="1"/>
      <c r="R972" s="1"/>
    </row>
    <row r="973">
      <c r="L973" s="1"/>
      <c r="M973" s="1"/>
      <c r="N973" s="1"/>
      <c r="O973" s="1"/>
      <c r="P973" s="1"/>
      <c r="Q973" s="1"/>
      <c r="R973" s="1"/>
    </row>
    <row r="974">
      <c r="L974" s="1"/>
      <c r="M974" s="1"/>
      <c r="N974" s="1"/>
      <c r="O974" s="1"/>
      <c r="P974" s="1"/>
      <c r="Q974" s="1"/>
      <c r="R974" s="1"/>
    </row>
    <row r="975">
      <c r="L975" s="1"/>
      <c r="M975" s="1"/>
      <c r="N975" s="1"/>
      <c r="O975" s="1"/>
      <c r="P975" s="1"/>
      <c r="Q975" s="1"/>
      <c r="R975" s="1"/>
    </row>
    <row r="976">
      <c r="L976" s="1"/>
      <c r="M976" s="1"/>
      <c r="N976" s="1"/>
      <c r="O976" s="1"/>
      <c r="P976" s="1"/>
      <c r="Q976" s="1"/>
      <c r="R976" s="1"/>
    </row>
    <row r="977">
      <c r="L977" s="1"/>
      <c r="M977" s="1"/>
      <c r="N977" s="1"/>
      <c r="O977" s="1"/>
      <c r="P977" s="1"/>
      <c r="Q977" s="1"/>
      <c r="R977" s="1"/>
    </row>
    <row r="978">
      <c r="L978" s="1"/>
      <c r="M978" s="1"/>
      <c r="N978" s="1"/>
      <c r="O978" s="1"/>
      <c r="P978" s="1"/>
      <c r="Q978" s="1"/>
      <c r="R978" s="1"/>
    </row>
    <row r="979">
      <c r="L979" s="1"/>
      <c r="M979" s="1"/>
      <c r="N979" s="1"/>
      <c r="O979" s="1"/>
      <c r="P979" s="1"/>
      <c r="Q979" s="1"/>
      <c r="R979" s="1"/>
    </row>
    <row r="980">
      <c r="L980" s="1"/>
      <c r="M980" s="1"/>
      <c r="N980" s="1"/>
      <c r="O980" s="1"/>
      <c r="P980" s="1"/>
      <c r="Q980" s="1"/>
      <c r="R980" s="1"/>
    </row>
    <row r="981">
      <c r="L981" s="1"/>
      <c r="M981" s="1"/>
      <c r="N981" s="1"/>
      <c r="O981" s="1"/>
      <c r="P981" s="1"/>
      <c r="Q981" s="1"/>
      <c r="R981" s="1"/>
    </row>
    <row r="982">
      <c r="L982" s="1"/>
      <c r="M982" s="1"/>
      <c r="N982" s="1"/>
      <c r="O982" s="1"/>
      <c r="P982" s="1"/>
      <c r="Q982" s="1"/>
      <c r="R982" s="1"/>
    </row>
    <row r="983">
      <c r="L983" s="1"/>
      <c r="M983" s="1"/>
      <c r="N983" s="1"/>
      <c r="O983" s="1"/>
      <c r="P983" s="1"/>
      <c r="Q983" s="1"/>
      <c r="R983" s="1"/>
    </row>
    <row r="984">
      <c r="L984" s="1"/>
      <c r="M984" s="1"/>
      <c r="N984" s="1"/>
      <c r="O984" s="1"/>
      <c r="P984" s="1"/>
      <c r="Q984" s="1"/>
      <c r="R984" s="1"/>
    </row>
    <row r="985">
      <c r="L985" s="1"/>
      <c r="M985" s="1"/>
      <c r="N985" s="1"/>
      <c r="O985" s="1"/>
      <c r="P985" s="1"/>
      <c r="Q985" s="1"/>
      <c r="R985" s="1"/>
    </row>
    <row r="986">
      <c r="L986" s="1"/>
      <c r="M986" s="1"/>
      <c r="N986" s="1"/>
      <c r="O986" s="1"/>
      <c r="P986" s="1"/>
      <c r="Q986" s="1"/>
      <c r="R986" s="1"/>
    </row>
    <row r="987">
      <c r="L987" s="1"/>
      <c r="M987" s="1"/>
      <c r="N987" s="1"/>
      <c r="O987" s="1"/>
      <c r="P987" s="1"/>
      <c r="Q987" s="1"/>
      <c r="R987" s="1"/>
    </row>
    <row r="988">
      <c r="L988" s="1"/>
      <c r="M988" s="1"/>
      <c r="N988" s="1"/>
      <c r="O988" s="1"/>
      <c r="P988" s="1"/>
      <c r="Q988" s="1"/>
      <c r="R988" s="1"/>
    </row>
    <row r="989">
      <c r="L989" s="1"/>
      <c r="M989" s="1"/>
      <c r="N989" s="1"/>
      <c r="O989" s="1"/>
      <c r="P989" s="1"/>
      <c r="Q989" s="1"/>
      <c r="R989" s="1"/>
    </row>
    <row r="990">
      <c r="L990" s="1"/>
      <c r="M990" s="1"/>
      <c r="N990" s="1"/>
      <c r="O990" s="1"/>
      <c r="P990" s="1"/>
      <c r="Q990" s="1"/>
      <c r="R990" s="1"/>
    </row>
    <row r="991">
      <c r="L991" s="1"/>
      <c r="M991" s="1"/>
      <c r="N991" s="1"/>
      <c r="O991" s="1"/>
      <c r="P991" s="1"/>
      <c r="Q991" s="1"/>
      <c r="R991" s="1"/>
    </row>
    <row r="992">
      <c r="L992" s="1"/>
      <c r="M992" s="1"/>
      <c r="N992" s="1"/>
      <c r="O992" s="1"/>
      <c r="P992" s="1"/>
      <c r="Q992" s="1"/>
      <c r="R992" s="1"/>
    </row>
    <row r="993">
      <c r="L993" s="1"/>
      <c r="M993" s="1"/>
      <c r="N993" s="1"/>
      <c r="O993" s="1"/>
      <c r="P993" s="1"/>
      <c r="Q993" s="1"/>
      <c r="R993" s="1"/>
    </row>
    <row r="994">
      <c r="L994" s="1"/>
      <c r="M994" s="1"/>
      <c r="N994" s="1"/>
      <c r="O994" s="1"/>
      <c r="P994" s="1"/>
      <c r="Q994" s="1"/>
      <c r="R994" s="1"/>
    </row>
    <row r="995">
      <c r="L995" s="1"/>
      <c r="M995" s="1"/>
      <c r="N995" s="1"/>
      <c r="O995" s="1"/>
      <c r="P995" s="1"/>
      <c r="Q995" s="1"/>
      <c r="R995" s="1"/>
    </row>
    <row r="996">
      <c r="L996" s="1"/>
      <c r="M996" s="1"/>
      <c r="N996" s="1"/>
      <c r="O996" s="1"/>
      <c r="P996" s="1"/>
      <c r="Q996" s="1"/>
      <c r="R996" s="1"/>
    </row>
    <row r="997">
      <c r="L997" s="1"/>
      <c r="M997" s="1"/>
      <c r="N997" s="1"/>
      <c r="O997" s="1"/>
      <c r="P997" s="1"/>
      <c r="Q997" s="1"/>
      <c r="R997" s="1"/>
    </row>
    <row r="998">
      <c r="L998" s="1"/>
      <c r="M998" s="1"/>
      <c r="N998" s="1"/>
      <c r="O998" s="1"/>
      <c r="P998" s="1"/>
      <c r="Q998" s="1"/>
      <c r="R998" s="1"/>
    </row>
    <row r="999">
      <c r="L999" s="1"/>
      <c r="M999" s="1"/>
      <c r="N999" s="1"/>
      <c r="O999" s="1"/>
      <c r="P999" s="1"/>
      <c r="Q999" s="1"/>
      <c r="R999" s="1"/>
    </row>
    <row r="1000">
      <c r="L1000" s="1"/>
      <c r="M1000" s="1"/>
      <c r="N1000" s="1"/>
      <c r="O1000" s="1"/>
      <c r="P1000" s="1"/>
      <c r="Q1000" s="1"/>
      <c r="R1000" s="1"/>
    </row>
  </sheetData>
  <conditionalFormatting sqref="D14 G14">
    <cfRule type="containsText" dxfId="0" priority="1" operator="containsText" text="$5500">
      <formula>NOT(ISERROR(SEARCH(("$5500"),(D14))))</formula>
    </cfRule>
  </conditionalFormatting>
  <conditionalFormatting sqref="D12:D13 G12:G13">
    <cfRule type="containsText" dxfId="0" priority="2" operator="containsText" text="37500">
      <formula>NOT(ISERROR(SEARCH(("37500"),(D12))))</formula>
    </cfRule>
  </conditionalFormatting>
  <conditionalFormatting sqref="D11:D14 G11:G14">
    <cfRule type="containsText" dxfId="0" priority="3" operator="containsText" text="6700">
      <formula>NOT(ISERROR(SEARCH(("6700"),(D11))))</formula>
    </cfRule>
  </conditionalFormatting>
  <conditionalFormatting sqref="D11:D12 G11:G12">
    <cfRule type="containsText" dxfId="0" priority="4" operator="containsText" text="3000">
      <formula>NOT(ISERROR(SEARCH(("3000"),(D11))))</formula>
    </cfRule>
  </conditionalFormatting>
  <conditionalFormatting sqref="D11:D12 G11:G12">
    <cfRule type="containsText" dxfId="0" priority="5" operator="containsText" text="5000">
      <formula>NOT(ISERROR(SEARCH(("5000"),(D11))))</formula>
    </cfRule>
  </conditionalFormatting>
  <conditionalFormatting sqref="D11:D12 G11:G12">
    <cfRule type="containsText" dxfId="0" priority="6" operator="containsText" text="10000">
      <formula>NOT(ISERROR(SEARCH(("10000"),(D11))))</formula>
    </cfRule>
  </conditionalFormatting>
  <conditionalFormatting sqref="D11 G11">
    <cfRule type="containsText" dxfId="0" priority="7" operator="containsText" text="6700">
      <formula>NOT(ISERROR(SEARCH(("6700"),(D11))))</formula>
    </cfRule>
  </conditionalFormatting>
  <conditionalFormatting sqref="D11:D12 G11:G12">
    <cfRule type="containsText" dxfId="0" priority="8" operator="containsText" text="7500">
      <formula>NOT(ISERROR(SEARCH(("7500"),(D11))))</formula>
    </cfRule>
  </conditionalFormatting>
  <conditionalFormatting sqref="D11:D14 G11:G14">
    <cfRule type="containsText" dxfId="0" priority="9" operator="containsText" text="22000">
      <formula>NOT(ISERROR(SEARCH(("22000"),(D11))))</formula>
    </cfRule>
  </conditionalFormatting>
  <conditionalFormatting sqref="D11:D14 G11:G14">
    <cfRule type="containsText" dxfId="0" priority="10" operator="containsText" text="5500">
      <formula>NOT(ISERROR(SEARCH(("5500"),(D11))))</formula>
    </cfRule>
  </conditionalFormatting>
  <conditionalFormatting sqref="D11 G11">
    <cfRule type="containsText" dxfId="0" priority="11" operator="containsText" text="6700">
      <formula>NOT(ISERROR(SEARCH(("6700"),(D11))))</formula>
    </cfRule>
  </conditionalFormatting>
  <conditionalFormatting sqref="D11 G11 D14 G14">
    <cfRule type="containsText" dxfId="0" priority="12" operator="containsText" text="$6700">
      <formula>NOT(ISERROR(SEARCH(("$6700"),(D11))))</formula>
    </cfRule>
  </conditionalFormatting>
  <conditionalFormatting sqref="D11 G11 D14 G14">
    <cfRule type="containsText" dxfId="0" priority="13" operator="containsText" text="$25500">
      <formula>NOT(ISERROR(SEARCH(("$25500"),(D11))))</formula>
    </cfRule>
  </conditionalFormatting>
  <conditionalFormatting sqref="D11:D14 G11:G14">
    <cfRule type="containsText" dxfId="0" priority="14" operator="containsText" text="$13000">
      <formula>NOT(ISERROR(SEARCH(("$13000"),(D11))))</formula>
    </cfRule>
  </conditionalFormatting>
  <conditionalFormatting sqref="D11:D14 G11:G14">
    <cfRule type="containsText" dxfId="0" priority="15" operator="containsText" text="$22000">
      <formula>NOT(ISERROR(SEARCH(("$22000"),(D11))))</formula>
    </cfRule>
  </conditionalFormatting>
  <conditionalFormatting sqref="D9:D14 G9:G14">
    <cfRule type="containsText" dxfId="0" priority="16" operator="containsText" text="$8700">
      <formula>NOT(ISERROR(SEARCH(("$8700"),(D9))))</formula>
    </cfRule>
  </conditionalFormatting>
  <conditionalFormatting sqref="D11:D14 G11:G14">
    <cfRule type="containsText" dxfId="0" priority="17" operator="containsText" text="$5600">
      <formula>NOT(ISERROR(SEARCH(("$5600"),(D11))))</formula>
    </cfRule>
  </conditionalFormatting>
  <conditionalFormatting sqref="D11:D14 G11:G14">
    <cfRule type="containsText" dxfId="0" priority="18" operator="containsText" text="$10200">
      <formula>NOT(ISERROR(SEARCH(("$10200"),(D11))))</formula>
    </cfRule>
  </conditionalFormatting>
  <conditionalFormatting sqref="D11:D14 G11:G14">
    <cfRule type="containsText" dxfId="0" priority="19" operator="containsText" text="$4300">
      <formula>NOT(ISERROR(SEARCH(("$4300"),(D11))))</formula>
    </cfRule>
  </conditionalFormatting>
  <conditionalFormatting sqref="D11:D14 G11:G14">
    <cfRule type="containsText" dxfId="0" priority="20" operator="containsText" text="9400">
      <formula>NOT(ISERROR(SEARCH(("9400"),(D11))))</formula>
    </cfRule>
  </conditionalFormatting>
  <conditionalFormatting sqref="D10:D12 G10:G12">
    <cfRule type="containsText" dxfId="0" priority="21" operator="containsText" text="15600">
      <formula>NOT(ISERROR(SEARCH(("15600"),(D10))))</formula>
    </cfRule>
  </conditionalFormatting>
  <conditionalFormatting sqref="D9:D14 G9:G14">
    <cfRule type="containsText" dxfId="0" priority="22" operator="containsText" text="13300">
      <formula>NOT(ISERROR(SEARCH(("13300"),(D9))))</formula>
    </cfRule>
  </conditionalFormatting>
  <conditionalFormatting sqref="D9:D14 G9:G14">
    <cfRule type="cellIs" dxfId="1" priority="23" operator="between">
      <formula>1</formula>
      <formula>1000000</formula>
    </cfRule>
  </conditionalFormatting>
  <conditionalFormatting sqref="G8:G14 D9:D14">
    <cfRule type="beginsWith" dxfId="2" priority="24" operator="beginsWith" text="$0">
      <formula>LEFT((G8),LEN("$0"))=("$0")</formula>
    </cfRule>
  </conditionalFormatting>
  <conditionalFormatting sqref="D15 G15">
    <cfRule type="cellIs" dxfId="3" priority="25" operator="equal">
      <formula>0</formula>
    </cfRule>
  </conditionalFormatting>
  <conditionalFormatting sqref="D15 G15">
    <cfRule type="cellIs" dxfId="0" priority="26" operator="equal">
      <formula>21000</formula>
    </cfRule>
  </conditionalFormatting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16.25"/>
    <col customWidth="1" min="3" max="3" width="10.13"/>
    <col customWidth="1" min="4" max="4" width="16.75"/>
    <col customWidth="1" min="5" max="5" width="5.75"/>
    <col customWidth="1" min="6" max="6" width="5.63"/>
    <col customWidth="1" min="7" max="7" width="15.0"/>
    <col customWidth="1" min="9" max="9" width="12.5"/>
    <col customWidth="1" min="10" max="10" width="30.63"/>
    <col customWidth="1" min="11" max="11" width="16.25"/>
    <col customWidth="1" min="12" max="12" width="10.13"/>
    <col customWidth="1" min="13" max="13" width="16.75"/>
    <col customWidth="1" min="14" max="14" width="5.5"/>
    <col customWidth="1" min="15" max="15" width="4.88"/>
    <col customWidth="1" min="16" max="16" width="15.0"/>
    <col customWidth="1" min="17" max="17" width="12.5"/>
    <col customWidth="1" min="18" max="18" width="11.63"/>
    <col customWidth="1" min="19" max="19" width="30.63"/>
    <col customWidth="1" min="20" max="20" width="16.25"/>
    <col customWidth="1" min="21" max="21" width="10.13"/>
    <col customWidth="1" min="22" max="22" width="16.75"/>
    <col customWidth="1" min="23" max="23" width="5.5"/>
    <col customWidth="1" min="24" max="24" width="4.88"/>
    <col customWidth="1" min="25" max="25" width="15.0"/>
  </cols>
  <sheetData>
    <row r="1" ht="39.0" customHeight="1">
      <c r="A1" s="29" t="s">
        <v>17</v>
      </c>
      <c r="B1" s="30"/>
      <c r="C1" s="31"/>
      <c r="D1" s="32"/>
      <c r="E1" s="33"/>
      <c r="F1" s="33"/>
      <c r="G1" s="34"/>
      <c r="H1" s="35"/>
      <c r="I1" s="36"/>
      <c r="J1" s="36"/>
      <c r="K1" s="37"/>
      <c r="L1" s="36"/>
      <c r="M1" s="36"/>
      <c r="N1" s="36"/>
      <c r="O1" s="36"/>
      <c r="P1" s="36"/>
      <c r="Q1" s="38"/>
      <c r="R1" s="38"/>
      <c r="S1" s="25"/>
      <c r="T1" s="38"/>
      <c r="U1" s="38"/>
      <c r="V1" s="38"/>
      <c r="W1" s="39"/>
      <c r="X1" s="39"/>
      <c r="Y1" s="39"/>
      <c r="Z1" s="39"/>
    </row>
    <row r="2" ht="20.25" customHeight="1">
      <c r="A2" s="40" t="s">
        <v>18</v>
      </c>
      <c r="B2" s="41" t="s">
        <v>19</v>
      </c>
      <c r="C2" s="40" t="s">
        <v>20</v>
      </c>
      <c r="D2" s="42" t="s">
        <v>21</v>
      </c>
      <c r="E2" s="43" t="s">
        <v>22</v>
      </c>
      <c r="F2" s="44" t="s">
        <v>23</v>
      </c>
      <c r="G2" s="45" t="s">
        <v>24</v>
      </c>
      <c r="H2" s="46"/>
      <c r="I2" s="47"/>
      <c r="J2" s="40" t="s">
        <v>18</v>
      </c>
      <c r="K2" s="41" t="s">
        <v>19</v>
      </c>
      <c r="L2" s="40" t="s">
        <v>20</v>
      </c>
      <c r="M2" s="42" t="s">
        <v>21</v>
      </c>
      <c r="N2" s="43" t="s">
        <v>22</v>
      </c>
      <c r="O2" s="44" t="s">
        <v>23</v>
      </c>
      <c r="P2" s="45" t="s">
        <v>24</v>
      </c>
      <c r="Q2" s="38"/>
      <c r="R2" s="38"/>
      <c r="S2" s="40" t="s">
        <v>18</v>
      </c>
      <c r="T2" s="41" t="s">
        <v>19</v>
      </c>
      <c r="U2" s="40" t="s">
        <v>20</v>
      </c>
      <c r="V2" s="42" t="s">
        <v>21</v>
      </c>
      <c r="W2" s="43" t="s">
        <v>22</v>
      </c>
      <c r="X2" s="44" t="s">
        <v>23</v>
      </c>
      <c r="Y2" s="45" t="s">
        <v>24</v>
      </c>
      <c r="Z2" s="39"/>
    </row>
    <row r="3">
      <c r="A3" s="48" t="s">
        <v>25</v>
      </c>
      <c r="B3" s="49">
        <v>0.0</v>
      </c>
      <c r="C3" s="50" t="str">
        <f>IF(AND(F3=E3,E3=F3),"$0","$6.500")</f>
        <v>$0</v>
      </c>
      <c r="D3" s="51">
        <v>6500.0</v>
      </c>
      <c r="E3" s="52" t="b">
        <v>0</v>
      </c>
      <c r="F3" s="53" t="b">
        <v>0</v>
      </c>
      <c r="G3" s="49">
        <v>0.0</v>
      </c>
      <c r="H3" s="54"/>
      <c r="I3" s="55"/>
      <c r="J3" s="48" t="s">
        <v>25</v>
      </c>
      <c r="K3" s="49">
        <v>0.0</v>
      </c>
      <c r="L3" s="50" t="str">
        <f>IF(AND(O3=N3,N3=O3),"$0","$6.500")</f>
        <v>$0</v>
      </c>
      <c r="M3" s="51">
        <v>6500.0</v>
      </c>
      <c r="N3" s="52" t="b">
        <v>0</v>
      </c>
      <c r="O3" s="53" t="b">
        <v>0</v>
      </c>
      <c r="P3" s="49">
        <v>0.0</v>
      </c>
      <c r="Q3" s="25"/>
      <c r="R3" s="25"/>
      <c r="S3" s="48" t="s">
        <v>25</v>
      </c>
      <c r="T3" s="49">
        <v>0.0</v>
      </c>
      <c r="U3" s="50" t="str">
        <f>IF(AND(X3=W3,W3=X3),"$0","$6.500")</f>
        <v>$0</v>
      </c>
      <c r="V3" s="51">
        <v>6500.0</v>
      </c>
      <c r="W3" s="52" t="b">
        <v>0</v>
      </c>
      <c r="X3" s="53" t="b">
        <v>0</v>
      </c>
      <c r="Y3" s="49">
        <v>0.0</v>
      </c>
      <c r="Z3" s="1"/>
    </row>
    <row r="4">
      <c r="A4" s="48" t="s">
        <v>25</v>
      </c>
      <c r="B4" s="49">
        <v>0.0</v>
      </c>
      <c r="C4" s="50" t="str">
        <f>IF(AND(F4=E4,E4=F4),"$0","$13.400")</f>
        <v>$0</v>
      </c>
      <c r="D4" s="51">
        <v>13400.0</v>
      </c>
      <c r="E4" s="52" t="b">
        <v>0</v>
      </c>
      <c r="F4" s="53" t="b">
        <v>0</v>
      </c>
      <c r="G4" s="49">
        <v>0.0</v>
      </c>
      <c r="H4" s="54"/>
      <c r="I4" s="55"/>
      <c r="J4" s="48" t="s">
        <v>25</v>
      </c>
      <c r="K4" s="49">
        <v>0.0</v>
      </c>
      <c r="L4" s="50" t="str">
        <f>IF(AND(O4=N4,N4=O4),"$0","$13.400")</f>
        <v>$0</v>
      </c>
      <c r="M4" s="51">
        <v>13400.0</v>
      </c>
      <c r="N4" s="52" t="b">
        <v>0</v>
      </c>
      <c r="O4" s="53" t="b">
        <v>0</v>
      </c>
      <c r="P4" s="49">
        <v>0.0</v>
      </c>
      <c r="Q4" s="25"/>
      <c r="R4" s="25"/>
      <c r="S4" s="48" t="s">
        <v>25</v>
      </c>
      <c r="T4" s="49">
        <v>0.0</v>
      </c>
      <c r="U4" s="50" t="str">
        <f>IF(AND(X4=W4,W4=X4),"$0","$13.400")</f>
        <v>$0</v>
      </c>
      <c r="V4" s="51">
        <v>13400.0</v>
      </c>
      <c r="W4" s="52" t="b">
        <v>0</v>
      </c>
      <c r="X4" s="53" t="b">
        <v>0</v>
      </c>
      <c r="Y4" s="49">
        <v>0.0</v>
      </c>
      <c r="Z4" s="1"/>
    </row>
    <row r="5">
      <c r="A5" s="48" t="s">
        <v>26</v>
      </c>
      <c r="B5" s="49">
        <v>0.0</v>
      </c>
      <c r="C5" s="50" t="str">
        <f>IF(AND(F5=E5,E5=F5),"$0","$6.600")</f>
        <v>$6.600</v>
      </c>
      <c r="D5" s="51">
        <v>6600.0</v>
      </c>
      <c r="E5" s="52" t="b">
        <v>1</v>
      </c>
      <c r="F5" s="53" t="b">
        <v>0</v>
      </c>
      <c r="G5" s="49">
        <v>0.0</v>
      </c>
      <c r="H5" s="56"/>
      <c r="I5" s="57"/>
      <c r="J5" s="48" t="s">
        <v>26</v>
      </c>
      <c r="K5" s="49">
        <v>0.0</v>
      </c>
      <c r="L5" s="50" t="str">
        <f>IF(AND(O5=N5,N5=O5),"$0","$6.600")</f>
        <v>$6.600</v>
      </c>
      <c r="M5" s="51">
        <v>6600.0</v>
      </c>
      <c r="N5" s="52" t="b">
        <v>0</v>
      </c>
      <c r="O5" s="53" t="b">
        <v>1</v>
      </c>
      <c r="P5" s="49">
        <v>0.0</v>
      </c>
      <c r="Q5" s="25"/>
      <c r="R5" s="25"/>
      <c r="S5" s="48" t="s">
        <v>26</v>
      </c>
      <c r="T5" s="49">
        <v>0.0</v>
      </c>
      <c r="U5" s="50" t="str">
        <f>IF(AND(X5=W5,W5=X5),"$0","$6.600")</f>
        <v>$0</v>
      </c>
      <c r="V5" s="51">
        <v>6600.0</v>
      </c>
      <c r="W5" s="52" t="b">
        <v>0</v>
      </c>
      <c r="X5" s="53" t="b">
        <v>0</v>
      </c>
      <c r="Y5" s="49">
        <v>0.0</v>
      </c>
      <c r="Z5" s="1"/>
    </row>
    <row r="6">
      <c r="A6" s="48" t="s">
        <v>27</v>
      </c>
      <c r="B6" s="49">
        <v>0.0</v>
      </c>
      <c r="C6" s="50" t="str">
        <f>IF(AND(F6=E6,E6=F6),"$0","$16.700")</f>
        <v>$16.700</v>
      </c>
      <c r="D6" s="51">
        <v>16700.0</v>
      </c>
      <c r="E6" s="52" t="b">
        <v>1</v>
      </c>
      <c r="F6" s="53" t="b">
        <v>0</v>
      </c>
      <c r="G6" s="49">
        <v>0.0</v>
      </c>
      <c r="H6" s="56"/>
      <c r="I6" s="57"/>
      <c r="J6" s="48" t="s">
        <v>27</v>
      </c>
      <c r="K6" s="49">
        <v>0.0</v>
      </c>
      <c r="L6" s="50" t="str">
        <f>IF(AND(O6=N6,N6=O6),"$0","$16.700")</f>
        <v>$0</v>
      </c>
      <c r="M6" s="51">
        <v>16700.0</v>
      </c>
      <c r="N6" s="52" t="b">
        <v>0</v>
      </c>
      <c r="O6" s="53" t="b">
        <v>0</v>
      </c>
      <c r="P6" s="49">
        <v>0.0</v>
      </c>
      <c r="Q6" s="25"/>
      <c r="R6" s="25"/>
      <c r="S6" s="48" t="s">
        <v>27</v>
      </c>
      <c r="T6" s="49">
        <v>0.0</v>
      </c>
      <c r="U6" s="50" t="str">
        <f>IF(AND(X6=W6,W6=X6),"$0","$16.700")</f>
        <v>$0</v>
      </c>
      <c r="V6" s="51">
        <v>16700.0</v>
      </c>
      <c r="W6" s="52" t="b">
        <v>0</v>
      </c>
      <c r="X6" s="53" t="b">
        <v>0</v>
      </c>
      <c r="Y6" s="49">
        <v>0.0</v>
      </c>
      <c r="Z6" s="1"/>
    </row>
    <row r="7">
      <c r="A7" s="48" t="s">
        <v>28</v>
      </c>
      <c r="B7" s="49">
        <v>0.0</v>
      </c>
      <c r="C7" s="50" t="str">
        <f t="shared" ref="C7:C8" si="1">IF(AND(F7=E7,E7=F7),"$0","$5.700")</f>
        <v>$0</v>
      </c>
      <c r="D7" s="51">
        <v>5700.0</v>
      </c>
      <c r="E7" s="52" t="b">
        <v>0</v>
      </c>
      <c r="F7" s="53" t="b">
        <v>0</v>
      </c>
      <c r="G7" s="49">
        <v>0.0</v>
      </c>
      <c r="H7" s="56"/>
      <c r="I7" s="57"/>
      <c r="J7" s="48" t="s">
        <v>28</v>
      </c>
      <c r="K7" s="49">
        <v>6700.0</v>
      </c>
      <c r="L7" s="50" t="str">
        <f t="shared" ref="L7:L8" si="2">IF(AND(O7=N7,N7=O7),"$0","$5.700")</f>
        <v>$0</v>
      </c>
      <c r="M7" s="51">
        <v>5700.0</v>
      </c>
      <c r="N7" s="52" t="b">
        <v>0</v>
      </c>
      <c r="O7" s="53" t="b">
        <v>0</v>
      </c>
      <c r="P7" s="49">
        <v>0.0</v>
      </c>
      <c r="Q7" s="25"/>
      <c r="R7" s="25"/>
      <c r="S7" s="48" t="s">
        <v>28</v>
      </c>
      <c r="T7" s="49">
        <v>0.0</v>
      </c>
      <c r="U7" s="50" t="str">
        <f t="shared" ref="U7:U8" si="3">IF(AND(X7=W7,W7=X7),"$0","$5.700")</f>
        <v>$0</v>
      </c>
      <c r="V7" s="51">
        <v>5700.0</v>
      </c>
      <c r="W7" s="52" t="b">
        <v>0</v>
      </c>
      <c r="X7" s="53" t="b">
        <v>0</v>
      </c>
      <c r="Y7" s="49">
        <v>0.0</v>
      </c>
      <c r="Z7" s="1"/>
    </row>
    <row r="8">
      <c r="A8" s="48" t="s">
        <v>28</v>
      </c>
      <c r="B8" s="49">
        <v>0.0</v>
      </c>
      <c r="C8" s="50" t="str">
        <f t="shared" si="1"/>
        <v>$0</v>
      </c>
      <c r="D8" s="51">
        <v>5700.0</v>
      </c>
      <c r="E8" s="52" t="b">
        <v>0</v>
      </c>
      <c r="F8" s="53" t="b">
        <v>0</v>
      </c>
      <c r="G8" s="49">
        <v>0.0</v>
      </c>
      <c r="H8" s="56"/>
      <c r="I8" s="57"/>
      <c r="J8" s="48" t="s">
        <v>28</v>
      </c>
      <c r="K8" s="49">
        <v>0.0</v>
      </c>
      <c r="L8" s="50" t="str">
        <f t="shared" si="2"/>
        <v>$5.700</v>
      </c>
      <c r="M8" s="51">
        <v>5700.0</v>
      </c>
      <c r="N8" s="52" t="b">
        <v>0</v>
      </c>
      <c r="O8" s="53" t="b">
        <v>1</v>
      </c>
      <c r="P8" s="49">
        <v>0.0</v>
      </c>
      <c r="Q8" s="25"/>
      <c r="R8" s="25"/>
      <c r="S8" s="48" t="s">
        <v>28</v>
      </c>
      <c r="T8" s="49">
        <v>0.0</v>
      </c>
      <c r="U8" s="50" t="str">
        <f t="shared" si="3"/>
        <v>$0</v>
      </c>
      <c r="V8" s="51">
        <v>5700.0</v>
      </c>
      <c r="W8" s="52" t="b">
        <v>0</v>
      </c>
      <c r="X8" s="53" t="b">
        <v>0</v>
      </c>
      <c r="Y8" s="49">
        <v>0.0</v>
      </c>
      <c r="Z8" s="1"/>
    </row>
    <row r="9">
      <c r="A9" s="48" t="s">
        <v>29</v>
      </c>
      <c r="B9" s="49">
        <v>0.0</v>
      </c>
      <c r="C9" s="50" t="str">
        <f>IF(AND(F9=E9,E9=F9),"$0","$8.400")</f>
        <v>$8.400</v>
      </c>
      <c r="D9" s="51">
        <v>8400.0</v>
      </c>
      <c r="E9" s="52" t="b">
        <v>1</v>
      </c>
      <c r="F9" s="53" t="b">
        <v>0</v>
      </c>
      <c r="G9" s="49">
        <v>0.0</v>
      </c>
      <c r="H9" s="54"/>
      <c r="I9" s="57"/>
      <c r="J9" s="48" t="s">
        <v>29</v>
      </c>
      <c r="K9" s="49">
        <v>0.0</v>
      </c>
      <c r="L9" s="50" t="str">
        <f>IF(AND(O9=N9,N9=O9),"$0","$8.400")</f>
        <v>$8.400</v>
      </c>
      <c r="M9" s="51">
        <v>8400.0</v>
      </c>
      <c r="N9" s="52" t="b">
        <v>1</v>
      </c>
      <c r="O9" s="53" t="b">
        <v>0</v>
      </c>
      <c r="P9" s="49">
        <v>0.0</v>
      </c>
      <c r="Q9" s="25"/>
      <c r="R9" s="25"/>
      <c r="S9" s="48" t="s">
        <v>29</v>
      </c>
      <c r="T9" s="49">
        <v>0.0</v>
      </c>
      <c r="U9" s="50" t="str">
        <f>IF(AND(X9=W9,W9=X9),"$0","$8.400")</f>
        <v>$0</v>
      </c>
      <c r="V9" s="51">
        <v>8400.0</v>
      </c>
      <c r="W9" s="52" t="b">
        <v>0</v>
      </c>
      <c r="X9" s="53" t="b">
        <v>0</v>
      </c>
      <c r="Y9" s="49">
        <v>0.0</v>
      </c>
      <c r="Z9" s="1"/>
    </row>
    <row r="10">
      <c r="A10" s="48" t="s">
        <v>30</v>
      </c>
      <c r="B10" s="49">
        <v>0.0</v>
      </c>
      <c r="C10" s="50" t="str">
        <f>IF(AND(F10=E10,E10=F10),"$0","$3.200")</f>
        <v>$0</v>
      </c>
      <c r="D10" s="51">
        <v>3200.0</v>
      </c>
      <c r="E10" s="52" t="b">
        <v>0</v>
      </c>
      <c r="F10" s="53" t="b">
        <v>0</v>
      </c>
      <c r="G10" s="49">
        <v>0.0</v>
      </c>
      <c r="H10" s="54"/>
      <c r="I10" s="57"/>
      <c r="J10" s="48" t="s">
        <v>30</v>
      </c>
      <c r="K10" s="49">
        <v>0.0</v>
      </c>
      <c r="L10" s="50" t="str">
        <f>IF(AND(O10=N10,N10=O10),"$0","$3.200")</f>
        <v>$0</v>
      </c>
      <c r="M10" s="51">
        <v>3200.0</v>
      </c>
      <c r="N10" s="52" t="b">
        <v>0</v>
      </c>
      <c r="O10" s="53" t="b">
        <v>0</v>
      </c>
      <c r="P10" s="49">
        <v>0.0</v>
      </c>
      <c r="Q10" s="25"/>
      <c r="R10" s="25"/>
      <c r="S10" s="48" t="s">
        <v>30</v>
      </c>
      <c r="T10" s="49">
        <v>0.0</v>
      </c>
      <c r="U10" s="50" t="str">
        <f>IF(AND(X10=W10,W10=X10),"$0","$3.200")</f>
        <v>$0</v>
      </c>
      <c r="V10" s="51">
        <v>3200.0</v>
      </c>
      <c r="W10" s="52" t="b">
        <v>0</v>
      </c>
      <c r="X10" s="53" t="b">
        <v>0</v>
      </c>
      <c r="Y10" s="49">
        <v>0.0</v>
      </c>
      <c r="Z10" s="1"/>
    </row>
    <row r="11">
      <c r="A11" s="58" t="s">
        <v>31</v>
      </c>
      <c r="B11" s="49">
        <v>0.0</v>
      </c>
      <c r="C11" s="50" t="str">
        <f>IF(AND(F11=E11,E11=F11),"$0","$9.000")</f>
        <v>$0</v>
      </c>
      <c r="D11" s="51">
        <v>9000.0</v>
      </c>
      <c r="E11" s="52" t="b">
        <v>0</v>
      </c>
      <c r="F11" s="53" t="b">
        <v>0</v>
      </c>
      <c r="G11" s="49">
        <v>0.0</v>
      </c>
      <c r="H11" s="59"/>
      <c r="I11" s="57"/>
      <c r="J11" s="58" t="s">
        <v>31</v>
      </c>
      <c r="K11" s="49">
        <v>0.0</v>
      </c>
      <c r="L11" s="50" t="str">
        <f>IF(AND(O11=N11,N11=O11),"$0","$9.000")</f>
        <v>$0</v>
      </c>
      <c r="M11" s="51">
        <v>9000.0</v>
      </c>
      <c r="N11" s="52" t="b">
        <v>0</v>
      </c>
      <c r="O11" s="53" t="b">
        <v>0</v>
      </c>
      <c r="P11" s="49">
        <v>0.0</v>
      </c>
      <c r="Q11" s="25"/>
      <c r="R11" s="25"/>
      <c r="S11" s="58" t="s">
        <v>31</v>
      </c>
      <c r="T11" s="49">
        <v>0.0</v>
      </c>
      <c r="U11" s="50" t="str">
        <f>IF(AND(X11=W11,W11=X11),"$0","$9.000")</f>
        <v>$0</v>
      </c>
      <c r="V11" s="51">
        <v>9000.0</v>
      </c>
      <c r="W11" s="52" t="b">
        <v>0</v>
      </c>
      <c r="X11" s="53" t="b">
        <v>0</v>
      </c>
      <c r="Y11" s="49">
        <v>0.0</v>
      </c>
      <c r="Z11" s="1"/>
    </row>
    <row r="12">
      <c r="A12" s="58" t="s">
        <v>32</v>
      </c>
      <c r="B12" s="49">
        <v>0.0</v>
      </c>
      <c r="C12" s="50" t="str">
        <f>IF(AND(F12=E12,E12=F12),"$0","$12,700")</f>
        <v>$12,700</v>
      </c>
      <c r="D12" s="51">
        <v>12700.0</v>
      </c>
      <c r="E12" s="52" t="b">
        <v>1</v>
      </c>
      <c r="F12" s="53" t="b">
        <v>0</v>
      </c>
      <c r="G12" s="49">
        <v>0.0</v>
      </c>
      <c r="H12" s="59"/>
      <c r="I12" s="57"/>
      <c r="J12" s="58" t="s">
        <v>32</v>
      </c>
      <c r="K12" s="49">
        <v>0.0</v>
      </c>
      <c r="L12" s="50" t="str">
        <f>IF(AND(O12=N12,N12=O12),"$0","$12,700")</f>
        <v>$0</v>
      </c>
      <c r="M12" s="51">
        <v>12700.0</v>
      </c>
      <c r="N12" s="52" t="b">
        <v>0</v>
      </c>
      <c r="O12" s="53" t="b">
        <v>0</v>
      </c>
      <c r="P12" s="49">
        <v>0.0</v>
      </c>
      <c r="Q12" s="25"/>
      <c r="R12" s="25"/>
      <c r="S12" s="58" t="s">
        <v>32</v>
      </c>
      <c r="T12" s="49">
        <v>0.0</v>
      </c>
      <c r="U12" s="50" t="str">
        <f>IF(AND(X12=W12,W12=X12),"$0","$12,700")</f>
        <v>$0</v>
      </c>
      <c r="V12" s="51">
        <v>12700.0</v>
      </c>
      <c r="W12" s="52" t="b">
        <v>0</v>
      </c>
      <c r="X12" s="53" t="b">
        <v>0</v>
      </c>
      <c r="Y12" s="49">
        <v>0.0</v>
      </c>
      <c r="Z12" s="1"/>
    </row>
    <row r="13">
      <c r="A13" s="48" t="s">
        <v>33</v>
      </c>
      <c r="B13" s="49">
        <v>0.0</v>
      </c>
      <c r="C13" s="50" t="str">
        <f>IF(AND(F13=E13,E13=F13),"$0","$22.500")</f>
        <v>$0</v>
      </c>
      <c r="D13" s="51">
        <v>22500.0</v>
      </c>
      <c r="E13" s="52" t="b">
        <v>0</v>
      </c>
      <c r="F13" s="53" t="b">
        <v>0</v>
      </c>
      <c r="G13" s="49">
        <v>0.0</v>
      </c>
      <c r="H13" s="59"/>
      <c r="I13" s="57"/>
      <c r="J13" s="48" t="s">
        <v>33</v>
      </c>
      <c r="K13" s="49">
        <v>0.0</v>
      </c>
      <c r="L13" s="50" t="str">
        <f>IF(AND(O13=N13,N13=O13),"$0","$22.500")</f>
        <v>$0</v>
      </c>
      <c r="M13" s="51">
        <v>22500.0</v>
      </c>
      <c r="N13" s="52" t="b">
        <v>0</v>
      </c>
      <c r="O13" s="53" t="b">
        <v>0</v>
      </c>
      <c r="P13" s="49">
        <v>0.0</v>
      </c>
      <c r="Q13" s="25"/>
      <c r="R13" s="25"/>
      <c r="S13" s="48" t="s">
        <v>33</v>
      </c>
      <c r="T13" s="49">
        <v>0.0</v>
      </c>
      <c r="U13" s="50" t="str">
        <f>IF(AND(X13=W13,W13=X13),"$0","$22.500")</f>
        <v>$0</v>
      </c>
      <c r="V13" s="51">
        <v>22500.0</v>
      </c>
      <c r="W13" s="52" t="b">
        <v>0</v>
      </c>
      <c r="X13" s="53" t="b">
        <v>0</v>
      </c>
      <c r="Y13" s="49">
        <v>0.0</v>
      </c>
      <c r="Z13" s="1"/>
    </row>
    <row r="14">
      <c r="A14" s="58" t="s">
        <v>34</v>
      </c>
      <c r="B14" s="49">
        <v>0.0</v>
      </c>
      <c r="C14" s="50" t="str">
        <f>IF(AND(F14=E14,E14=F14),"$0","$20.900")</f>
        <v>$0</v>
      </c>
      <c r="D14" s="51">
        <v>20900.0</v>
      </c>
      <c r="E14" s="52" t="b">
        <v>0</v>
      </c>
      <c r="F14" s="53" t="b">
        <v>0</v>
      </c>
      <c r="G14" s="49">
        <v>0.0</v>
      </c>
      <c r="H14" s="59"/>
      <c r="I14" s="57"/>
      <c r="J14" s="58" t="s">
        <v>34</v>
      </c>
      <c r="K14" s="49">
        <v>0.0</v>
      </c>
      <c r="L14" s="50" t="str">
        <f>IF(AND(O14=N14,N14=O14),"$0","$20.900")</f>
        <v>$0</v>
      </c>
      <c r="M14" s="51">
        <v>20900.0</v>
      </c>
      <c r="N14" s="52" t="b">
        <v>0</v>
      </c>
      <c r="O14" s="53" t="b">
        <v>0</v>
      </c>
      <c r="P14" s="49">
        <v>0.0</v>
      </c>
      <c r="Q14" s="25"/>
      <c r="R14" s="25"/>
      <c r="S14" s="58" t="s">
        <v>34</v>
      </c>
      <c r="T14" s="49">
        <v>0.0</v>
      </c>
      <c r="U14" s="50" t="str">
        <f>IF(AND(X14=W14,W14=X14),"$0","$20.900")</f>
        <v>$0</v>
      </c>
      <c r="V14" s="51">
        <v>20900.0</v>
      </c>
      <c r="W14" s="52" t="b">
        <v>0</v>
      </c>
      <c r="X14" s="53" t="b">
        <v>0</v>
      </c>
      <c r="Y14" s="49">
        <v>0.0</v>
      </c>
      <c r="Z14" s="1"/>
    </row>
    <row r="15">
      <c r="A15" s="58" t="s">
        <v>35</v>
      </c>
      <c r="B15" s="49">
        <v>0.0</v>
      </c>
      <c r="C15" s="50" t="str">
        <f>IF(AND(F15=E15,E15=F15),"$0","$18.500")</f>
        <v>$18.500</v>
      </c>
      <c r="D15" s="51">
        <v>15500.0</v>
      </c>
      <c r="E15" s="52" t="b">
        <v>1</v>
      </c>
      <c r="F15" s="53" t="b">
        <v>0</v>
      </c>
      <c r="G15" s="49">
        <v>0.0</v>
      </c>
      <c r="H15" s="59"/>
      <c r="I15" s="57"/>
      <c r="J15" s="58" t="s">
        <v>35</v>
      </c>
      <c r="K15" s="49">
        <v>0.0</v>
      </c>
      <c r="L15" s="50" t="str">
        <f>IF(AND(O15=N15,N15=O15),"$0","$18.500")</f>
        <v>$18.500</v>
      </c>
      <c r="M15" s="51">
        <v>15500.0</v>
      </c>
      <c r="N15" s="52" t="b">
        <v>1</v>
      </c>
      <c r="O15" s="53" t="b">
        <v>0</v>
      </c>
      <c r="P15" s="49">
        <v>0.0</v>
      </c>
      <c r="Q15" s="25"/>
      <c r="R15" s="25"/>
      <c r="S15" s="58" t="s">
        <v>35</v>
      </c>
      <c r="T15" s="49">
        <v>0.0</v>
      </c>
      <c r="U15" s="50" t="str">
        <f>IF(AND(X15=W15,W15=X15),"$0","$18.500")</f>
        <v>$0</v>
      </c>
      <c r="V15" s="51">
        <v>15500.0</v>
      </c>
      <c r="W15" s="52" t="b">
        <v>0</v>
      </c>
      <c r="X15" s="53" t="b">
        <v>0</v>
      </c>
      <c r="Y15" s="49">
        <v>0.0</v>
      </c>
      <c r="Z15" s="1"/>
    </row>
    <row r="16">
      <c r="A16" s="48" t="s">
        <v>36</v>
      </c>
      <c r="B16" s="49">
        <v>0.0</v>
      </c>
      <c r="C16" s="50" t="str">
        <f>IF(AND(F16=E16,E16=F16),"$0","$10.500")</f>
        <v>$10.500</v>
      </c>
      <c r="D16" s="51">
        <v>10500.0</v>
      </c>
      <c r="E16" s="52" t="b">
        <v>0</v>
      </c>
      <c r="F16" s="53" t="b">
        <v>1</v>
      </c>
      <c r="G16" s="49">
        <v>0.0</v>
      </c>
      <c r="H16" s="59"/>
      <c r="I16" s="57"/>
      <c r="J16" s="48" t="s">
        <v>36</v>
      </c>
      <c r="K16" s="49">
        <v>0.0</v>
      </c>
      <c r="L16" s="50" t="str">
        <f>IF(AND(O16=N16,N16=O16),"$0","$10.500")</f>
        <v>$0</v>
      </c>
      <c r="M16" s="51">
        <v>10500.0</v>
      </c>
      <c r="N16" s="52" t="b">
        <v>0</v>
      </c>
      <c r="O16" s="53" t="b">
        <v>0</v>
      </c>
      <c r="P16" s="49">
        <v>0.0</v>
      </c>
      <c r="Q16" s="25"/>
      <c r="R16" s="25"/>
      <c r="S16" s="48" t="s">
        <v>36</v>
      </c>
      <c r="T16" s="49">
        <v>0.0</v>
      </c>
      <c r="U16" s="50" t="str">
        <f>IF(AND(X16=W16,W16=X16),"$0","$10.500")</f>
        <v>$0</v>
      </c>
      <c r="V16" s="51">
        <v>10500.0</v>
      </c>
      <c r="W16" s="52" t="b">
        <v>0</v>
      </c>
      <c r="X16" s="53" t="b">
        <v>0</v>
      </c>
      <c r="Y16" s="49">
        <v>0.0</v>
      </c>
      <c r="Z16" s="1"/>
    </row>
    <row r="17">
      <c r="A17" s="48" t="s">
        <v>37</v>
      </c>
      <c r="B17" s="49">
        <v>0.0</v>
      </c>
      <c r="C17" s="50" t="str">
        <f>IF(AND(F17=E17,E17=F17),"$0","$15.900")</f>
        <v>$15.900</v>
      </c>
      <c r="D17" s="51">
        <v>15900.0</v>
      </c>
      <c r="E17" s="52" t="b">
        <v>0</v>
      </c>
      <c r="F17" s="53" t="b">
        <v>1</v>
      </c>
      <c r="G17" s="49">
        <v>0.0</v>
      </c>
      <c r="H17" s="59"/>
      <c r="I17" s="57"/>
      <c r="J17" s="48" t="s">
        <v>37</v>
      </c>
      <c r="K17" s="49">
        <v>0.0</v>
      </c>
      <c r="L17" s="50" t="str">
        <f>IF(AND(O17=N17,N17=O17),"$0","$15.900")</f>
        <v>$15.900</v>
      </c>
      <c r="M17" s="51">
        <v>15900.0</v>
      </c>
      <c r="N17" s="52" t="b">
        <v>1</v>
      </c>
      <c r="O17" s="53" t="b">
        <v>0</v>
      </c>
      <c r="P17" s="49">
        <v>0.0</v>
      </c>
      <c r="Q17" s="25"/>
      <c r="R17" s="25"/>
      <c r="S17" s="48" t="s">
        <v>37</v>
      </c>
      <c r="T17" s="49">
        <v>0.0</v>
      </c>
      <c r="U17" s="50" t="str">
        <f>IF(AND(X17=W17,W17=X17),"$0","$15.900")</f>
        <v>$0</v>
      </c>
      <c r="V17" s="51">
        <v>15900.0</v>
      </c>
      <c r="W17" s="52" t="b">
        <v>0</v>
      </c>
      <c r="X17" s="53" t="b">
        <v>0</v>
      </c>
      <c r="Y17" s="49">
        <v>0.0</v>
      </c>
      <c r="Z17" s="1"/>
    </row>
    <row r="18">
      <c r="A18" s="48" t="s">
        <v>38</v>
      </c>
      <c r="B18" s="49">
        <v>3000.0</v>
      </c>
      <c r="C18" s="50" t="str">
        <f>IF(AND(F18=E18,E18=F18),"$0","$20.900")</f>
        <v>$0</v>
      </c>
      <c r="D18" s="51">
        <v>20900.0</v>
      </c>
      <c r="E18" s="52" t="b">
        <v>0</v>
      </c>
      <c r="F18" s="53" t="b">
        <v>0</v>
      </c>
      <c r="G18" s="49">
        <v>17900.0</v>
      </c>
      <c r="H18" s="59"/>
      <c r="I18" s="57"/>
      <c r="J18" s="48" t="s">
        <v>38</v>
      </c>
      <c r="K18" s="49">
        <v>0.0</v>
      </c>
      <c r="L18" s="50" t="str">
        <f>IF(AND(O18=N18,N18=O18),"$0","$20.900")</f>
        <v>$20.900</v>
      </c>
      <c r="M18" s="51">
        <v>20900.0</v>
      </c>
      <c r="N18" s="52" t="b">
        <v>1</v>
      </c>
      <c r="O18" s="53" t="b">
        <v>0</v>
      </c>
      <c r="P18" s="49">
        <v>0.0</v>
      </c>
      <c r="Q18" s="25"/>
      <c r="R18" s="25"/>
      <c r="S18" s="48" t="s">
        <v>38</v>
      </c>
      <c r="T18" s="49">
        <v>0.0</v>
      </c>
      <c r="U18" s="50" t="str">
        <f>IF(AND(X18=W18,W18=X18),"$0","$20.900")</f>
        <v>$0</v>
      </c>
      <c r="V18" s="51">
        <v>20900.0</v>
      </c>
      <c r="W18" s="52" t="b">
        <v>0</v>
      </c>
      <c r="X18" s="53" t="b">
        <v>0</v>
      </c>
      <c r="Y18" s="49">
        <v>0.0</v>
      </c>
      <c r="Z18" s="1"/>
    </row>
    <row r="19">
      <c r="A19" s="58" t="s">
        <v>39</v>
      </c>
      <c r="B19" s="49">
        <v>0.0</v>
      </c>
      <c r="C19" s="50" t="str">
        <f t="shared" ref="C19:C20" si="4">IF(AND(F19=E19,E19=F19),"$0","$15.000")</f>
        <v>$15.000</v>
      </c>
      <c r="D19" s="51">
        <v>15000.0</v>
      </c>
      <c r="E19" s="52" t="b">
        <v>1</v>
      </c>
      <c r="F19" s="53" t="b">
        <v>0</v>
      </c>
      <c r="G19" s="49">
        <v>0.0</v>
      </c>
      <c r="H19" s="59"/>
      <c r="I19" s="57"/>
      <c r="J19" s="58" t="s">
        <v>39</v>
      </c>
      <c r="K19" s="49">
        <v>0.0</v>
      </c>
      <c r="L19" s="50" t="str">
        <f t="shared" ref="L19:L20" si="5">IF(AND(O19=N19,N19=O19),"$0","$15.000")</f>
        <v>$0</v>
      </c>
      <c r="M19" s="51">
        <v>15000.0</v>
      </c>
      <c r="N19" s="52" t="b">
        <v>0</v>
      </c>
      <c r="O19" s="53" t="b">
        <v>0</v>
      </c>
      <c r="P19" s="49">
        <v>0.0</v>
      </c>
      <c r="Q19" s="25"/>
      <c r="R19" s="25"/>
      <c r="S19" s="58" t="s">
        <v>39</v>
      </c>
      <c r="T19" s="49">
        <v>0.0</v>
      </c>
      <c r="U19" s="50" t="str">
        <f t="shared" ref="U19:U20" si="6">IF(AND(X19=W19,W19=X19),"$0","$15.000")</f>
        <v>$0</v>
      </c>
      <c r="V19" s="51">
        <v>15000.0</v>
      </c>
      <c r="W19" s="52" t="b">
        <v>0</v>
      </c>
      <c r="X19" s="53" t="b">
        <v>0</v>
      </c>
      <c r="Y19" s="49">
        <v>0.0</v>
      </c>
      <c r="Z19" s="1"/>
    </row>
    <row r="20">
      <c r="A20" s="58" t="s">
        <v>39</v>
      </c>
      <c r="B20" s="49">
        <v>0.0</v>
      </c>
      <c r="C20" s="50" t="str">
        <f t="shared" si="4"/>
        <v>$15.000</v>
      </c>
      <c r="D20" s="51">
        <v>15000.0</v>
      </c>
      <c r="E20" s="52" t="b">
        <v>1</v>
      </c>
      <c r="F20" s="53" t="b">
        <v>0</v>
      </c>
      <c r="G20" s="49">
        <v>0.0</v>
      </c>
      <c r="H20" s="59"/>
      <c r="I20" s="57"/>
      <c r="J20" s="58" t="s">
        <v>39</v>
      </c>
      <c r="K20" s="49">
        <v>0.0</v>
      </c>
      <c r="L20" s="50" t="str">
        <f t="shared" si="5"/>
        <v>$0</v>
      </c>
      <c r="M20" s="51">
        <v>15000.0</v>
      </c>
      <c r="N20" s="52" t="b">
        <v>0</v>
      </c>
      <c r="O20" s="53" t="b">
        <v>0</v>
      </c>
      <c r="P20" s="49">
        <v>0.0</v>
      </c>
      <c r="Q20" s="25"/>
      <c r="R20" s="25"/>
      <c r="S20" s="58" t="s">
        <v>39</v>
      </c>
      <c r="T20" s="49">
        <v>0.0</v>
      </c>
      <c r="U20" s="50" t="str">
        <f t="shared" si="6"/>
        <v>$0</v>
      </c>
      <c r="V20" s="51">
        <v>15000.0</v>
      </c>
      <c r="W20" s="52" t="b">
        <v>0</v>
      </c>
      <c r="X20" s="53" t="b">
        <v>0</v>
      </c>
      <c r="Y20" s="49">
        <v>0.0</v>
      </c>
      <c r="Z20" s="1"/>
    </row>
    <row r="21">
      <c r="A21" s="48" t="s">
        <v>40</v>
      </c>
      <c r="B21" s="49">
        <v>0.0</v>
      </c>
      <c r="C21" s="50" t="str">
        <f>IF(AND(F21=E21,E21=F21),"$0","$42.700")</f>
        <v>$42.700</v>
      </c>
      <c r="D21" s="51">
        <v>29900.0</v>
      </c>
      <c r="E21" s="52" t="b">
        <v>0</v>
      </c>
      <c r="F21" s="53" t="b">
        <v>1</v>
      </c>
      <c r="G21" s="49">
        <v>0.0</v>
      </c>
      <c r="H21" s="59"/>
      <c r="I21" s="57"/>
      <c r="J21" s="48" t="s">
        <v>40</v>
      </c>
      <c r="K21" s="49">
        <v>0.0</v>
      </c>
      <c r="L21" s="50" t="str">
        <f>IF(AND(O21=N21,N21=O21),"$0","$42.700")</f>
        <v>$42.700</v>
      </c>
      <c r="M21" s="51">
        <v>29900.0</v>
      </c>
      <c r="N21" s="52" t="b">
        <v>1</v>
      </c>
      <c r="O21" s="53" t="b">
        <v>0</v>
      </c>
      <c r="P21" s="49">
        <v>0.0</v>
      </c>
      <c r="Q21" s="25"/>
      <c r="R21" s="25"/>
      <c r="S21" s="48" t="s">
        <v>40</v>
      </c>
      <c r="T21" s="49">
        <v>0.0</v>
      </c>
      <c r="U21" s="50" t="str">
        <f>IF(AND(X21=W21,W21=X21),"$0","$42.700")</f>
        <v>$0</v>
      </c>
      <c r="V21" s="51">
        <v>29900.0</v>
      </c>
      <c r="W21" s="52" t="b">
        <v>0</v>
      </c>
      <c r="X21" s="53" t="b">
        <v>0</v>
      </c>
      <c r="Y21" s="49">
        <v>0.0</v>
      </c>
      <c r="Z21" s="1"/>
    </row>
    <row r="22">
      <c r="A22" s="48" t="s">
        <v>41</v>
      </c>
      <c r="B22" s="49">
        <v>0.0</v>
      </c>
      <c r="C22" s="50" t="str">
        <f t="shared" ref="C22:C23" si="7">IF(AND(F22=E22,E22=F22),"$0","$13.000")</f>
        <v>$13.000</v>
      </c>
      <c r="D22" s="51">
        <v>13000.0</v>
      </c>
      <c r="E22" s="52" t="b">
        <v>1</v>
      </c>
      <c r="F22" s="53" t="b">
        <v>0</v>
      </c>
      <c r="G22" s="49">
        <v>0.0</v>
      </c>
      <c r="H22" s="59"/>
      <c r="I22" s="57"/>
      <c r="J22" s="48" t="s">
        <v>41</v>
      </c>
      <c r="K22" s="49">
        <v>0.0</v>
      </c>
      <c r="L22" s="50" t="str">
        <f t="shared" ref="L22:L23" si="8">IF(AND(O22=N22,N22=O22),"$0","$13.000")</f>
        <v>$13.000</v>
      </c>
      <c r="M22" s="51">
        <v>13000.0</v>
      </c>
      <c r="N22" s="52" t="b">
        <v>1</v>
      </c>
      <c r="O22" s="53" t="b">
        <v>0</v>
      </c>
      <c r="P22" s="49">
        <v>0.0</v>
      </c>
      <c r="Q22" s="25"/>
      <c r="R22" s="25"/>
      <c r="S22" s="48" t="s">
        <v>41</v>
      </c>
      <c r="T22" s="49">
        <v>0.0</v>
      </c>
      <c r="U22" s="50" t="str">
        <f t="shared" ref="U22:U23" si="9">IF(AND(X22=W22,W22=X22),"$0","$13.000")</f>
        <v>$0</v>
      </c>
      <c r="V22" s="51">
        <v>13000.0</v>
      </c>
      <c r="W22" s="52" t="b">
        <v>0</v>
      </c>
      <c r="X22" s="53" t="b">
        <v>0</v>
      </c>
      <c r="Y22" s="49">
        <v>0.0</v>
      </c>
      <c r="Z22" s="1"/>
    </row>
    <row r="23">
      <c r="A23" s="48" t="s">
        <v>42</v>
      </c>
      <c r="B23" s="49">
        <v>0.0</v>
      </c>
      <c r="C23" s="50" t="str">
        <f t="shared" si="7"/>
        <v>$0</v>
      </c>
      <c r="D23" s="51">
        <v>13000.0</v>
      </c>
      <c r="E23" s="52" t="b">
        <v>0</v>
      </c>
      <c r="F23" s="53" t="b">
        <v>0</v>
      </c>
      <c r="G23" s="49">
        <v>0.0</v>
      </c>
      <c r="H23" s="59"/>
      <c r="I23" s="57"/>
      <c r="J23" s="48" t="s">
        <v>42</v>
      </c>
      <c r="K23" s="49">
        <v>0.0</v>
      </c>
      <c r="L23" s="50" t="str">
        <f t="shared" si="8"/>
        <v>$13.000</v>
      </c>
      <c r="M23" s="51">
        <v>13000.0</v>
      </c>
      <c r="N23" s="52" t="b">
        <v>1</v>
      </c>
      <c r="O23" s="53" t="b">
        <v>0</v>
      </c>
      <c r="P23" s="49">
        <v>0.0</v>
      </c>
      <c r="Q23" s="25"/>
      <c r="R23" s="25"/>
      <c r="S23" s="48" t="s">
        <v>42</v>
      </c>
      <c r="T23" s="49">
        <v>0.0</v>
      </c>
      <c r="U23" s="50" t="str">
        <f t="shared" si="9"/>
        <v>$0</v>
      </c>
      <c r="V23" s="51">
        <v>13000.0</v>
      </c>
      <c r="W23" s="52" t="b">
        <v>0</v>
      </c>
      <c r="X23" s="53" t="b">
        <v>0</v>
      </c>
      <c r="Y23" s="49">
        <v>0.0</v>
      </c>
      <c r="Z23" s="1"/>
    </row>
    <row r="24">
      <c r="A24" s="48" t="s">
        <v>43</v>
      </c>
      <c r="B24" s="49">
        <v>0.0</v>
      </c>
      <c r="C24" s="50" t="str">
        <f>IF(AND(F24=E24,E24=F24),"$0","$14.200")</f>
        <v>$0</v>
      </c>
      <c r="D24" s="51">
        <v>14200.0</v>
      </c>
      <c r="E24" s="52" t="b">
        <v>0</v>
      </c>
      <c r="F24" s="53" t="b">
        <v>0</v>
      </c>
      <c r="G24" s="49">
        <v>0.0</v>
      </c>
      <c r="H24" s="59"/>
      <c r="I24" s="57"/>
      <c r="J24" s="48" t="s">
        <v>43</v>
      </c>
      <c r="K24" s="49">
        <v>0.0</v>
      </c>
      <c r="L24" s="50" t="str">
        <f>IF(AND(O24=N24,N24=O24),"$0","$14.200")</f>
        <v>$14.200</v>
      </c>
      <c r="M24" s="51">
        <v>14200.0</v>
      </c>
      <c r="N24" s="52" t="b">
        <v>0</v>
      </c>
      <c r="O24" s="53" t="b">
        <v>1</v>
      </c>
      <c r="P24" s="49">
        <v>0.0</v>
      </c>
      <c r="Q24" s="25"/>
      <c r="R24" s="25"/>
      <c r="S24" s="48" t="s">
        <v>43</v>
      </c>
      <c r="T24" s="49">
        <v>0.0</v>
      </c>
      <c r="U24" s="50" t="str">
        <f>IF(AND(X24=W24,W24=X24),"$0","$14.200")</f>
        <v>$0</v>
      </c>
      <c r="V24" s="51">
        <v>14200.0</v>
      </c>
      <c r="W24" s="52" t="b">
        <v>0</v>
      </c>
      <c r="X24" s="53" t="b">
        <v>0</v>
      </c>
      <c r="Y24" s="49">
        <v>0.0</v>
      </c>
      <c r="Z24" s="1"/>
    </row>
    <row r="25">
      <c r="A25" s="48" t="s">
        <v>44</v>
      </c>
      <c r="B25" s="49">
        <v>0.0</v>
      </c>
      <c r="C25" s="60" t="str">
        <f>IF(AND(F25=E25,E25=F25),"$0","$21.400")</f>
        <v>$0</v>
      </c>
      <c r="D25" s="61">
        <v>21400.0</v>
      </c>
      <c r="E25" s="52" t="b">
        <v>0</v>
      </c>
      <c r="F25" s="53" t="b">
        <v>0</v>
      </c>
      <c r="G25" s="49">
        <v>0.0</v>
      </c>
      <c r="H25" s="54"/>
      <c r="I25" s="62"/>
      <c r="J25" s="48" t="s">
        <v>44</v>
      </c>
      <c r="K25" s="49">
        <v>0.0</v>
      </c>
      <c r="L25" s="60" t="str">
        <f>IF(AND(O25=N25,N25=O25),"$0","$21.400")</f>
        <v>$0</v>
      </c>
      <c r="M25" s="61">
        <v>21400.0</v>
      </c>
      <c r="N25" s="52" t="b">
        <v>0</v>
      </c>
      <c r="O25" s="53" t="b">
        <v>0</v>
      </c>
      <c r="P25" s="49">
        <v>0.0</v>
      </c>
      <c r="Q25" s="38"/>
      <c r="R25" s="38"/>
      <c r="S25" s="48" t="s">
        <v>44</v>
      </c>
      <c r="T25" s="49">
        <v>0.0</v>
      </c>
      <c r="U25" s="60" t="str">
        <f>IF(AND(X25=W25,W25=X25),"$0","$21.400")</f>
        <v>$0</v>
      </c>
      <c r="V25" s="61">
        <v>21400.0</v>
      </c>
      <c r="W25" s="52" t="b">
        <v>0</v>
      </c>
      <c r="X25" s="53" t="b">
        <v>0</v>
      </c>
      <c r="Y25" s="49">
        <v>0.0</v>
      </c>
      <c r="Z25" s="1"/>
    </row>
    <row r="26">
      <c r="A26" s="48" t="s">
        <v>45</v>
      </c>
      <c r="B26" s="49">
        <v>0.0</v>
      </c>
      <c r="C26" s="50" t="str">
        <f>IF(AND(F26=E26,E26=F26),"$0","$30.000")</f>
        <v>$30.000</v>
      </c>
      <c r="D26" s="51">
        <v>30000.0</v>
      </c>
      <c r="E26" s="52" t="b">
        <v>1</v>
      </c>
      <c r="F26" s="53" t="b">
        <v>0</v>
      </c>
      <c r="G26" s="49">
        <v>0.0</v>
      </c>
      <c r="H26" s="54"/>
      <c r="I26" s="62"/>
      <c r="J26" s="48" t="s">
        <v>45</v>
      </c>
      <c r="K26" s="49">
        <v>0.0</v>
      </c>
      <c r="L26" s="50" t="str">
        <f>IF(AND(O26=N26,N26=O26),"$0","$30.000")</f>
        <v>$0</v>
      </c>
      <c r="M26" s="51">
        <v>30000.0</v>
      </c>
      <c r="N26" s="52" t="b">
        <v>0</v>
      </c>
      <c r="O26" s="53" t="b">
        <v>0</v>
      </c>
      <c r="P26" s="49">
        <v>0.0</v>
      </c>
      <c r="Q26" s="38"/>
      <c r="R26" s="38"/>
      <c r="S26" s="48" t="s">
        <v>45</v>
      </c>
      <c r="T26" s="49">
        <v>0.0</v>
      </c>
      <c r="U26" s="50" t="str">
        <f>IF(AND(X26=W26,W26=X26),"$0","$30.000")</f>
        <v>$0</v>
      </c>
      <c r="V26" s="51">
        <v>30000.0</v>
      </c>
      <c r="W26" s="52" t="b">
        <v>0</v>
      </c>
      <c r="X26" s="53" t="b">
        <v>0</v>
      </c>
      <c r="Y26" s="49">
        <v>0.0</v>
      </c>
      <c r="Z26" s="1"/>
    </row>
    <row r="27">
      <c r="A27" s="48" t="s">
        <v>46</v>
      </c>
      <c r="B27" s="49">
        <v>0.0</v>
      </c>
      <c r="C27" s="50" t="str">
        <f>IF(AND(F27=E27,E27=F27),"$0","$10500")</f>
        <v>$10500</v>
      </c>
      <c r="D27" s="51">
        <v>10500.0</v>
      </c>
      <c r="E27" s="52" t="b">
        <v>0</v>
      </c>
      <c r="F27" s="53" t="b">
        <v>1</v>
      </c>
      <c r="G27" s="49">
        <v>0.0</v>
      </c>
      <c r="H27" s="54"/>
      <c r="I27" s="62"/>
      <c r="J27" s="48" t="s">
        <v>46</v>
      </c>
      <c r="K27" s="49">
        <v>0.0</v>
      </c>
      <c r="L27" s="50" t="str">
        <f>IF(AND(O27=N27,N27=O27),"$0","$10500")</f>
        <v>$10500</v>
      </c>
      <c r="M27" s="51">
        <v>10500.0</v>
      </c>
      <c r="N27" s="52" t="b">
        <v>0</v>
      </c>
      <c r="O27" s="53" t="b">
        <v>1</v>
      </c>
      <c r="P27" s="49">
        <v>0.0</v>
      </c>
      <c r="Q27" s="38"/>
      <c r="R27" s="38"/>
      <c r="S27" s="48" t="s">
        <v>46</v>
      </c>
      <c r="T27" s="49">
        <v>0.0</v>
      </c>
      <c r="U27" s="50" t="str">
        <f>IF(AND(X27=W27,W27=X27),"$0","$10500")</f>
        <v>$0</v>
      </c>
      <c r="V27" s="51">
        <v>10500.0</v>
      </c>
      <c r="W27" s="52" t="b">
        <v>0</v>
      </c>
      <c r="X27" s="53" t="b">
        <v>0</v>
      </c>
      <c r="Y27" s="49">
        <v>0.0</v>
      </c>
      <c r="Z27" s="1"/>
    </row>
    <row r="28">
      <c r="A28" s="48" t="s">
        <v>47</v>
      </c>
      <c r="B28" s="49">
        <v>0.0</v>
      </c>
      <c r="C28" s="50" t="str">
        <f>IF(AND(F28=E28,E28=F28),"$0","$26.400")</f>
        <v>$0</v>
      </c>
      <c r="D28" s="51">
        <v>26400.0</v>
      </c>
      <c r="E28" s="52" t="b">
        <v>0</v>
      </c>
      <c r="F28" s="53" t="b">
        <v>0</v>
      </c>
      <c r="G28" s="49">
        <v>0.0</v>
      </c>
      <c r="H28" s="54"/>
      <c r="I28" s="62"/>
      <c r="J28" s="48" t="s">
        <v>47</v>
      </c>
      <c r="K28" s="49">
        <v>0.0</v>
      </c>
      <c r="L28" s="50" t="str">
        <f>IF(AND(O28=N28,N28=O28),"$0","$26.400")</f>
        <v>$26.400</v>
      </c>
      <c r="M28" s="51">
        <v>26400.0</v>
      </c>
      <c r="N28" s="52" t="b">
        <v>1</v>
      </c>
      <c r="O28" s="53" t="b">
        <v>0</v>
      </c>
      <c r="P28" s="49">
        <v>0.0</v>
      </c>
      <c r="Q28" s="38"/>
      <c r="R28" s="38"/>
      <c r="S28" s="48" t="s">
        <v>47</v>
      </c>
      <c r="T28" s="49">
        <v>0.0</v>
      </c>
      <c r="U28" s="50" t="str">
        <f>IF(AND(X28=W28,W28=X28),"$0","$26.400")</f>
        <v>$0</v>
      </c>
      <c r="V28" s="51">
        <v>26400.0</v>
      </c>
      <c r="W28" s="52" t="b">
        <v>0</v>
      </c>
      <c r="X28" s="53" t="b">
        <v>0</v>
      </c>
      <c r="Y28" s="49">
        <v>0.0</v>
      </c>
      <c r="Z28" s="1"/>
    </row>
    <row r="29">
      <c r="A29" s="48" t="s">
        <v>48</v>
      </c>
      <c r="B29" s="49">
        <v>0.0</v>
      </c>
      <c r="C29" s="50" t="str">
        <f>IF(AND(F29=E29,E29=F29),"$0","$12.600")</f>
        <v>$0</v>
      </c>
      <c r="D29" s="51">
        <v>12600.0</v>
      </c>
      <c r="E29" s="52" t="b">
        <v>0</v>
      </c>
      <c r="F29" s="53" t="b">
        <v>0</v>
      </c>
      <c r="G29" s="49">
        <v>0.0</v>
      </c>
      <c r="H29" s="54"/>
      <c r="I29" s="62"/>
      <c r="J29" s="48" t="s">
        <v>48</v>
      </c>
      <c r="K29" s="49">
        <v>0.0</v>
      </c>
      <c r="L29" s="50" t="str">
        <f>IF(AND(O29=N29,N29=O29),"$0","$12.600")</f>
        <v>$12.600</v>
      </c>
      <c r="M29" s="51">
        <v>12600.0</v>
      </c>
      <c r="N29" s="52" t="b">
        <v>1</v>
      </c>
      <c r="O29" s="53" t="b">
        <v>0</v>
      </c>
      <c r="P29" s="49">
        <v>0.0</v>
      </c>
      <c r="Q29" s="38"/>
      <c r="R29" s="38"/>
      <c r="S29" s="48" t="s">
        <v>48</v>
      </c>
      <c r="T29" s="49">
        <v>0.0</v>
      </c>
      <c r="U29" s="50" t="str">
        <f>IF(AND(X29=W29,W29=X29),"$0","$12.600")</f>
        <v>$0</v>
      </c>
      <c r="V29" s="51">
        <v>12600.0</v>
      </c>
      <c r="W29" s="52" t="b">
        <v>0</v>
      </c>
      <c r="X29" s="53" t="b">
        <v>0</v>
      </c>
      <c r="Y29" s="49">
        <v>0.0</v>
      </c>
      <c r="Z29" s="1"/>
    </row>
    <row r="30">
      <c r="A30" s="48" t="s">
        <v>49</v>
      </c>
      <c r="B30" s="49">
        <v>0.0</v>
      </c>
      <c r="C30" s="50" t="str">
        <f>IF(AND(F30=E30,E30=F30),"$0","$26.400")</f>
        <v>$0</v>
      </c>
      <c r="D30" s="51">
        <v>26400.0</v>
      </c>
      <c r="E30" s="52" t="b">
        <v>0</v>
      </c>
      <c r="F30" s="53" t="b">
        <v>0</v>
      </c>
      <c r="G30" s="49">
        <v>0.0</v>
      </c>
      <c r="H30" s="54"/>
      <c r="I30" s="62"/>
      <c r="J30" s="48" t="s">
        <v>49</v>
      </c>
      <c r="K30" s="49">
        <v>0.0</v>
      </c>
      <c r="L30" s="50" t="str">
        <f>IF(AND(O30=N30,N30=O30),"$0","$26.400")</f>
        <v>$0</v>
      </c>
      <c r="M30" s="51">
        <v>26400.0</v>
      </c>
      <c r="N30" s="52" t="b">
        <v>0</v>
      </c>
      <c r="O30" s="53" t="b">
        <v>0</v>
      </c>
      <c r="P30" s="49">
        <v>0.0</v>
      </c>
      <c r="Q30" s="38"/>
      <c r="R30" s="38"/>
      <c r="S30" s="48" t="s">
        <v>49</v>
      </c>
      <c r="T30" s="49">
        <v>0.0</v>
      </c>
      <c r="U30" s="50" t="str">
        <f>IF(AND(X30=W30,W30=X30),"$0","$26.400")</f>
        <v>$0</v>
      </c>
      <c r="V30" s="51">
        <v>26400.0</v>
      </c>
      <c r="W30" s="52" t="b">
        <v>0</v>
      </c>
      <c r="X30" s="53" t="b">
        <v>0</v>
      </c>
      <c r="Y30" s="49">
        <v>0.0</v>
      </c>
      <c r="Z30" s="1"/>
    </row>
    <row r="31">
      <c r="A31" s="48" t="s">
        <v>50</v>
      </c>
      <c r="B31" s="49">
        <v>0.0</v>
      </c>
      <c r="C31" s="50" t="str">
        <f>IF(AND(F31=E31,E31=F31),"$0","$34.600")</f>
        <v>$0</v>
      </c>
      <c r="D31" s="51">
        <v>34600.0</v>
      </c>
      <c r="E31" s="52" t="b">
        <v>0</v>
      </c>
      <c r="F31" s="53" t="b">
        <v>0</v>
      </c>
      <c r="G31" s="49">
        <v>0.0</v>
      </c>
      <c r="H31" s="54"/>
      <c r="I31" s="62"/>
      <c r="J31" s="48" t="s">
        <v>50</v>
      </c>
      <c r="K31" s="49">
        <v>0.0</v>
      </c>
      <c r="L31" s="50" t="str">
        <f>IF(AND(O31=N31,N31=O31),"$0","$34.600")</f>
        <v>$0</v>
      </c>
      <c r="M31" s="51">
        <v>34600.0</v>
      </c>
      <c r="N31" s="52" t="b">
        <v>0</v>
      </c>
      <c r="O31" s="53" t="b">
        <v>0</v>
      </c>
      <c r="P31" s="49">
        <v>0.0</v>
      </c>
      <c r="Q31" s="38"/>
      <c r="R31" s="38"/>
      <c r="S31" s="48" t="s">
        <v>50</v>
      </c>
      <c r="T31" s="49">
        <v>0.0</v>
      </c>
      <c r="U31" s="50" t="str">
        <f>IF(AND(X31=W31,W31=X31),"$0","$34.600")</f>
        <v>$0</v>
      </c>
      <c r="V31" s="51">
        <v>34600.0</v>
      </c>
      <c r="W31" s="52" t="b">
        <v>0</v>
      </c>
      <c r="X31" s="53" t="b">
        <v>0</v>
      </c>
      <c r="Y31" s="49">
        <v>0.0</v>
      </c>
      <c r="Z31" s="1"/>
    </row>
    <row r="32">
      <c r="A32" s="48" t="s">
        <v>51</v>
      </c>
      <c r="B32" s="49">
        <v>0.0</v>
      </c>
      <c r="C32" s="50" t="str">
        <f>IF(AND(F32=E32,E32=F32),"$0","$12.700")</f>
        <v>$12.700</v>
      </c>
      <c r="D32" s="51">
        <v>20900.0</v>
      </c>
      <c r="E32" s="52" t="b">
        <v>0</v>
      </c>
      <c r="F32" s="53" t="b">
        <v>1</v>
      </c>
      <c r="G32" s="49">
        <v>0.0</v>
      </c>
      <c r="H32" s="54"/>
      <c r="I32" s="63"/>
      <c r="J32" s="48" t="s">
        <v>51</v>
      </c>
      <c r="K32" s="49">
        <v>0.0</v>
      </c>
      <c r="L32" s="50" t="str">
        <f>IF(AND(O32=N32,N32=O32),"$0","$12.700")</f>
        <v>$0</v>
      </c>
      <c r="M32" s="51">
        <v>20900.0</v>
      </c>
      <c r="N32" s="52" t="b">
        <v>0</v>
      </c>
      <c r="O32" s="53" t="b">
        <v>0</v>
      </c>
      <c r="P32" s="49">
        <v>0.0</v>
      </c>
      <c r="Q32" s="38"/>
      <c r="R32" s="25"/>
      <c r="S32" s="48" t="s">
        <v>51</v>
      </c>
      <c r="T32" s="49">
        <v>0.0</v>
      </c>
      <c r="U32" s="50" t="str">
        <f>IF(AND(X32=W32,W32=X32),"$0","$12.700")</f>
        <v>$0</v>
      </c>
      <c r="V32" s="51">
        <v>20900.0</v>
      </c>
      <c r="W32" s="52" t="b">
        <v>0</v>
      </c>
      <c r="X32" s="53" t="b">
        <v>0</v>
      </c>
      <c r="Y32" s="49">
        <v>0.0</v>
      </c>
      <c r="Z32" s="1"/>
    </row>
    <row r="33">
      <c r="A33" s="48" t="s">
        <v>51</v>
      </c>
      <c r="B33" s="49">
        <v>0.0</v>
      </c>
      <c r="C33" s="50" t="str">
        <f t="shared" ref="C33:C34" si="10">IF(AND(F33=E33,E33=F33),"$0","$9.700")</f>
        <v>$0</v>
      </c>
      <c r="D33" s="51">
        <v>9700.0</v>
      </c>
      <c r="E33" s="52" t="b">
        <v>0</v>
      </c>
      <c r="F33" s="53" t="b">
        <v>0</v>
      </c>
      <c r="G33" s="49">
        <v>0.0</v>
      </c>
      <c r="H33" s="54"/>
      <c r="I33" s="63"/>
      <c r="J33" s="48" t="s">
        <v>51</v>
      </c>
      <c r="K33" s="49">
        <v>0.0</v>
      </c>
      <c r="L33" s="50" t="str">
        <f t="shared" ref="L33:L34" si="11">IF(AND(O33=N33,N33=O33),"$0","$9.700")</f>
        <v>$9.700</v>
      </c>
      <c r="M33" s="51">
        <v>9700.0</v>
      </c>
      <c r="N33" s="52" t="b">
        <v>0</v>
      </c>
      <c r="O33" s="53" t="b">
        <v>1</v>
      </c>
      <c r="P33" s="49">
        <v>0.0</v>
      </c>
      <c r="Q33" s="38"/>
      <c r="R33" s="25"/>
      <c r="S33" s="48" t="s">
        <v>51</v>
      </c>
      <c r="T33" s="49">
        <v>0.0</v>
      </c>
      <c r="U33" s="50" t="str">
        <f t="shared" ref="U33:U34" si="12">IF(AND(X33=W33,W33=X33),"$0","$9.700")</f>
        <v>$0</v>
      </c>
      <c r="V33" s="51">
        <v>9700.0</v>
      </c>
      <c r="W33" s="52" t="b">
        <v>0</v>
      </c>
      <c r="X33" s="53" t="b">
        <v>0</v>
      </c>
      <c r="Y33" s="49">
        <v>0.0</v>
      </c>
      <c r="Z33" s="1"/>
    </row>
    <row r="34">
      <c r="A34" s="48" t="s">
        <v>52</v>
      </c>
      <c r="B34" s="49">
        <v>9000.0</v>
      </c>
      <c r="C34" s="50" t="str">
        <f t="shared" si="10"/>
        <v>$0</v>
      </c>
      <c r="D34" s="51">
        <v>16700.0</v>
      </c>
      <c r="E34" s="52" t="b">
        <v>0</v>
      </c>
      <c r="F34" s="53" t="b">
        <v>0</v>
      </c>
      <c r="G34" s="49">
        <v>0.0</v>
      </c>
      <c r="H34" s="54"/>
      <c r="I34" s="63"/>
      <c r="J34" s="48" t="s">
        <v>52</v>
      </c>
      <c r="K34" s="49">
        <v>24400.0</v>
      </c>
      <c r="L34" s="50" t="str">
        <f t="shared" si="11"/>
        <v>$0</v>
      </c>
      <c r="M34" s="51">
        <v>16700.0</v>
      </c>
      <c r="N34" s="52" t="b">
        <v>0</v>
      </c>
      <c r="O34" s="53" t="b">
        <v>0</v>
      </c>
      <c r="P34" s="49">
        <v>0.0</v>
      </c>
      <c r="Q34" s="38"/>
      <c r="R34" s="25"/>
      <c r="S34" s="48" t="s">
        <v>52</v>
      </c>
      <c r="T34" s="49">
        <v>0.0</v>
      </c>
      <c r="U34" s="50" t="str">
        <f t="shared" si="12"/>
        <v>$0</v>
      </c>
      <c r="V34" s="51">
        <v>16700.0</v>
      </c>
      <c r="W34" s="52" t="b">
        <v>0</v>
      </c>
      <c r="X34" s="53" t="b">
        <v>0</v>
      </c>
      <c r="Y34" s="49">
        <v>0.0</v>
      </c>
      <c r="Z34" s="1"/>
    </row>
    <row r="35">
      <c r="A35" s="48" t="s">
        <v>53</v>
      </c>
      <c r="B35" s="49">
        <v>0.0</v>
      </c>
      <c r="C35" s="50" t="str">
        <f>IF(AND(F35=E35,E35=F35),"$0","$26.400")</f>
        <v>$26.400</v>
      </c>
      <c r="D35" s="51">
        <v>26400.0</v>
      </c>
      <c r="E35" s="52" t="b">
        <v>0</v>
      </c>
      <c r="F35" s="53" t="b">
        <v>1</v>
      </c>
      <c r="G35" s="49">
        <v>0.0</v>
      </c>
      <c r="H35" s="54"/>
      <c r="I35" s="63"/>
      <c r="J35" s="48" t="s">
        <v>53</v>
      </c>
      <c r="K35" s="49">
        <v>0.0</v>
      </c>
      <c r="L35" s="50" t="str">
        <f>IF(AND(O35=N35,N35=O35),"$0","$26.400")</f>
        <v>$26.400</v>
      </c>
      <c r="M35" s="51">
        <v>26400.0</v>
      </c>
      <c r="N35" s="52" t="b">
        <v>0</v>
      </c>
      <c r="O35" s="53" t="b">
        <v>1</v>
      </c>
      <c r="P35" s="49">
        <v>0.0</v>
      </c>
      <c r="Q35" s="38"/>
      <c r="R35" s="25"/>
      <c r="S35" s="48" t="s">
        <v>53</v>
      </c>
      <c r="T35" s="49">
        <v>0.0</v>
      </c>
      <c r="U35" s="50" t="str">
        <f>IF(AND(X35=W35,W35=X35),"$0","$26.400")</f>
        <v>$0</v>
      </c>
      <c r="V35" s="51">
        <v>26400.0</v>
      </c>
      <c r="W35" s="52" t="b">
        <v>0</v>
      </c>
      <c r="X35" s="53" t="b">
        <v>0</v>
      </c>
      <c r="Y35" s="49">
        <v>0.0</v>
      </c>
      <c r="Z35" s="1"/>
    </row>
    <row r="36">
      <c r="A36" s="48" t="s">
        <v>54</v>
      </c>
      <c r="B36" s="49">
        <v>0.0</v>
      </c>
      <c r="C36" s="50" t="str">
        <f>IF(AND(F36=E36,E36=F36),"$0","$10.000")</f>
        <v>$10.000</v>
      </c>
      <c r="D36" s="51">
        <v>10000.0</v>
      </c>
      <c r="E36" s="52" t="b">
        <v>1</v>
      </c>
      <c r="F36" s="53" t="b">
        <v>0</v>
      </c>
      <c r="G36" s="49">
        <v>0.0</v>
      </c>
      <c r="H36" s="54"/>
      <c r="I36" s="63"/>
      <c r="J36" s="48" t="s">
        <v>54</v>
      </c>
      <c r="K36" s="49">
        <v>0.0</v>
      </c>
      <c r="L36" s="50" t="str">
        <f>IF(AND(O36=N36,N36=O36),"$0","$10.000")</f>
        <v>$0</v>
      </c>
      <c r="M36" s="51">
        <v>10000.0</v>
      </c>
      <c r="N36" s="52" t="b">
        <v>0</v>
      </c>
      <c r="O36" s="53" t="b">
        <v>0</v>
      </c>
      <c r="P36" s="49">
        <v>0.0</v>
      </c>
      <c r="Q36" s="38"/>
      <c r="R36" s="25"/>
      <c r="S36" s="48" t="s">
        <v>54</v>
      </c>
      <c r="T36" s="49">
        <v>0.0</v>
      </c>
      <c r="U36" s="50" t="str">
        <f>IF(AND(X36=W36,W36=X36),"$0","$10.000")</f>
        <v>$0</v>
      </c>
      <c r="V36" s="51">
        <v>10000.0</v>
      </c>
      <c r="W36" s="52" t="b">
        <v>0</v>
      </c>
      <c r="X36" s="53" t="b">
        <v>0</v>
      </c>
      <c r="Y36" s="49">
        <v>0.0</v>
      </c>
      <c r="Z36" s="1"/>
    </row>
    <row r="37">
      <c r="A37" s="48" t="s">
        <v>54</v>
      </c>
      <c r="B37" s="49">
        <v>0.0</v>
      </c>
      <c r="C37" s="50" t="str">
        <f>IF(AND(F37=E37,E37=F37),"$0","$13.200")</f>
        <v>$13.200</v>
      </c>
      <c r="D37" s="51">
        <v>13200.0</v>
      </c>
      <c r="E37" s="52" t="b">
        <v>1</v>
      </c>
      <c r="F37" s="53" t="b">
        <v>0</v>
      </c>
      <c r="G37" s="49">
        <v>0.0</v>
      </c>
      <c r="H37" s="54"/>
      <c r="I37" s="63"/>
      <c r="J37" s="48" t="s">
        <v>54</v>
      </c>
      <c r="K37" s="49">
        <v>0.0</v>
      </c>
      <c r="L37" s="50" t="str">
        <f>IF(AND(O37=N37,N37=O37),"$0","$13.200")</f>
        <v>$0</v>
      </c>
      <c r="M37" s="51">
        <v>13200.0</v>
      </c>
      <c r="N37" s="52" t="b">
        <v>0</v>
      </c>
      <c r="O37" s="53" t="b">
        <v>0</v>
      </c>
      <c r="P37" s="49">
        <v>0.0</v>
      </c>
      <c r="Q37" s="38"/>
      <c r="R37" s="25"/>
      <c r="S37" s="48" t="s">
        <v>54</v>
      </c>
      <c r="T37" s="49">
        <v>0.0</v>
      </c>
      <c r="U37" s="50" t="str">
        <f>IF(AND(X37=W37,W37=X37),"$0","$13.200")</f>
        <v>$0</v>
      </c>
      <c r="V37" s="51">
        <v>13200.0</v>
      </c>
      <c r="W37" s="52" t="b">
        <v>0</v>
      </c>
      <c r="X37" s="53" t="b">
        <v>0</v>
      </c>
      <c r="Y37" s="49">
        <v>0.0</v>
      </c>
      <c r="Z37" s="1"/>
    </row>
    <row r="38">
      <c r="A38" s="48" t="s">
        <v>55</v>
      </c>
      <c r="B38" s="49">
        <v>0.0</v>
      </c>
      <c r="C38" s="50" t="str">
        <f>IF(AND(F38=E38,E38=F38),"$0","$29.800")</f>
        <v>$29.800</v>
      </c>
      <c r="D38" s="64">
        <v>29800.0</v>
      </c>
      <c r="E38" s="52" t="b">
        <v>1</v>
      </c>
      <c r="F38" s="53" t="b">
        <v>0</v>
      </c>
      <c r="G38" s="49">
        <v>0.0</v>
      </c>
      <c r="H38" s="54"/>
      <c r="I38" s="63"/>
      <c r="J38" s="48" t="s">
        <v>55</v>
      </c>
      <c r="K38" s="49">
        <v>0.0</v>
      </c>
      <c r="L38" s="50" t="str">
        <f>IF(AND(O38=N38,N38=O38),"$0","$29.800")</f>
        <v>$0</v>
      </c>
      <c r="M38" s="64">
        <v>29800.0</v>
      </c>
      <c r="N38" s="52" t="b">
        <v>0</v>
      </c>
      <c r="O38" s="53" t="b">
        <v>0</v>
      </c>
      <c r="P38" s="49">
        <v>0.0</v>
      </c>
      <c r="Q38" s="38"/>
      <c r="R38" s="25"/>
      <c r="S38" s="48" t="s">
        <v>55</v>
      </c>
      <c r="T38" s="49">
        <v>0.0</v>
      </c>
      <c r="U38" s="50" t="str">
        <f>IF(AND(X38=W38,W38=X38),"$0","$29.800")</f>
        <v>$0</v>
      </c>
      <c r="V38" s="64">
        <v>29800.0</v>
      </c>
      <c r="W38" s="52" t="b">
        <v>0</v>
      </c>
      <c r="X38" s="53" t="b">
        <v>0</v>
      </c>
      <c r="Y38" s="49">
        <v>0.0</v>
      </c>
      <c r="Z38" s="1"/>
    </row>
    <row r="39">
      <c r="A39" s="48" t="s">
        <v>55</v>
      </c>
      <c r="B39" s="49">
        <v>0.0</v>
      </c>
      <c r="C39" s="65" t="str">
        <f>IF(AND(F39=E39,E39=F39),"$0","$28.000")</f>
        <v>$0</v>
      </c>
      <c r="D39" s="65">
        <v>28000.0</v>
      </c>
      <c r="E39" s="52" t="b">
        <v>0</v>
      </c>
      <c r="F39" s="53" t="b">
        <v>0</v>
      </c>
      <c r="G39" s="49">
        <v>0.0</v>
      </c>
      <c r="H39" s="54"/>
      <c r="I39" s="63"/>
      <c r="J39" s="48" t="s">
        <v>55</v>
      </c>
      <c r="K39" s="49">
        <v>0.0</v>
      </c>
      <c r="L39" s="65" t="str">
        <f>IF(AND(O39=N39,N39=O39),"$0","$28.000")</f>
        <v>$0</v>
      </c>
      <c r="M39" s="65">
        <v>28000.0</v>
      </c>
      <c r="N39" s="52" t="b">
        <v>0</v>
      </c>
      <c r="O39" s="53" t="b">
        <v>0</v>
      </c>
      <c r="P39" s="49">
        <v>0.0</v>
      </c>
      <c r="Q39" s="25"/>
      <c r="R39" s="25"/>
      <c r="S39" s="48" t="s">
        <v>55</v>
      </c>
      <c r="T39" s="49">
        <v>0.0</v>
      </c>
      <c r="U39" s="65" t="str">
        <f>IF(AND(X39=W39,W39=X39),"$0","$28.000")</f>
        <v>$0</v>
      </c>
      <c r="V39" s="65">
        <v>28000.0</v>
      </c>
      <c r="W39" s="52" t="b">
        <v>0</v>
      </c>
      <c r="X39" s="53" t="b">
        <v>0</v>
      </c>
      <c r="Y39" s="49">
        <v>0.0</v>
      </c>
      <c r="Z39" s="1"/>
    </row>
    <row r="40">
      <c r="A40" s="48" t="s">
        <v>55</v>
      </c>
      <c r="B40" s="49">
        <v>0.0</v>
      </c>
      <c r="C40" s="65" t="str">
        <f>IF(AND(F40=E40,E40=F40),"$0","$12.500")</f>
        <v>$0</v>
      </c>
      <c r="D40" s="66">
        <v>12500.0</v>
      </c>
      <c r="E40" s="52" t="b">
        <v>0</v>
      </c>
      <c r="F40" s="53" t="b">
        <v>0</v>
      </c>
      <c r="G40" s="49">
        <v>0.0</v>
      </c>
      <c r="H40" s="54"/>
      <c r="I40" s="63"/>
      <c r="J40" s="48" t="s">
        <v>55</v>
      </c>
      <c r="K40" s="49">
        <v>0.0</v>
      </c>
      <c r="L40" s="65" t="str">
        <f>IF(AND(O40=N40,N40=O40),"$0","$12.500")</f>
        <v>$0</v>
      </c>
      <c r="M40" s="66">
        <v>12500.0</v>
      </c>
      <c r="N40" s="52" t="b">
        <v>0</v>
      </c>
      <c r="O40" s="53" t="b">
        <v>0</v>
      </c>
      <c r="P40" s="49">
        <v>0.0</v>
      </c>
      <c r="Q40" s="25"/>
      <c r="R40" s="25"/>
      <c r="S40" s="48" t="s">
        <v>55</v>
      </c>
      <c r="T40" s="49">
        <v>0.0</v>
      </c>
      <c r="U40" s="65" t="str">
        <f>IF(AND(X40=W40,W40=X40),"$0","$12.500")</f>
        <v>$0</v>
      </c>
      <c r="V40" s="66">
        <v>12500.0</v>
      </c>
      <c r="W40" s="52" t="b">
        <v>0</v>
      </c>
      <c r="X40" s="53" t="b">
        <v>0</v>
      </c>
      <c r="Y40" s="49">
        <v>0.0</v>
      </c>
      <c r="Z40" s="1"/>
    </row>
    <row r="41">
      <c r="A41" s="58" t="s">
        <v>56</v>
      </c>
      <c r="B41" s="49">
        <v>0.0</v>
      </c>
      <c r="C41" s="65" t="str">
        <f>IF(AND(F41=E41,E41=F41),"$0","$10.000")</f>
        <v>$10.000</v>
      </c>
      <c r="D41" s="66">
        <v>10000.0</v>
      </c>
      <c r="E41" s="52" t="b">
        <v>0</v>
      </c>
      <c r="F41" s="53" t="b">
        <v>1</v>
      </c>
      <c r="G41" s="49">
        <v>0.0</v>
      </c>
      <c r="H41" s="54"/>
      <c r="I41" s="63"/>
      <c r="J41" s="58" t="s">
        <v>56</v>
      </c>
      <c r="K41" s="49">
        <v>0.0</v>
      </c>
      <c r="L41" s="65" t="str">
        <f>IF(AND(O41=N41,N41=O41),"$0","$10.000")</f>
        <v>$10.000</v>
      </c>
      <c r="M41" s="66">
        <v>10000.0</v>
      </c>
      <c r="N41" s="52" t="b">
        <v>0</v>
      </c>
      <c r="O41" s="53" t="b">
        <v>1</v>
      </c>
      <c r="P41" s="49">
        <v>0.0</v>
      </c>
      <c r="Q41" s="25"/>
      <c r="R41" s="25"/>
      <c r="S41" s="58" t="s">
        <v>56</v>
      </c>
      <c r="T41" s="49">
        <v>0.0</v>
      </c>
      <c r="U41" s="65" t="str">
        <f>IF(AND(X41=W41,W41=X41),"$0","$10.000")</f>
        <v>$0</v>
      </c>
      <c r="V41" s="66">
        <v>10000.0</v>
      </c>
      <c r="W41" s="52" t="b">
        <v>0</v>
      </c>
      <c r="X41" s="53" t="b">
        <v>0</v>
      </c>
      <c r="Y41" s="49">
        <v>0.0</v>
      </c>
      <c r="Z41" s="1"/>
    </row>
    <row r="42">
      <c r="A42" s="48" t="s">
        <v>57</v>
      </c>
      <c r="B42" s="49">
        <v>26900.0</v>
      </c>
      <c r="C42" s="64" t="str">
        <f>IF(AND(F42=E42,E42=F42),"$0","$20.900")</f>
        <v>$0</v>
      </c>
      <c r="D42" s="64">
        <v>20900.0</v>
      </c>
      <c r="E42" s="52" t="b">
        <v>0</v>
      </c>
      <c r="F42" s="53" t="b">
        <v>0</v>
      </c>
      <c r="G42" s="49">
        <v>0.0</v>
      </c>
      <c r="H42" s="54"/>
      <c r="I42" s="63"/>
      <c r="J42" s="48" t="s">
        <v>57</v>
      </c>
      <c r="K42" s="49">
        <v>0.0</v>
      </c>
      <c r="L42" s="64" t="str">
        <f>IF(AND(O42=N42,N42=O42),"$0","$20.900")</f>
        <v>$0</v>
      </c>
      <c r="M42" s="64">
        <v>20900.0</v>
      </c>
      <c r="N42" s="52" t="b">
        <v>0</v>
      </c>
      <c r="O42" s="53" t="b">
        <v>0</v>
      </c>
      <c r="P42" s="49">
        <v>0.0</v>
      </c>
      <c r="Q42" s="25"/>
      <c r="R42" s="25"/>
      <c r="S42" s="48" t="s">
        <v>57</v>
      </c>
      <c r="T42" s="49">
        <v>0.0</v>
      </c>
      <c r="U42" s="64" t="str">
        <f>IF(AND(X42=W42,W42=X42),"$0","$20.900")</f>
        <v>$0</v>
      </c>
      <c r="V42" s="64">
        <v>20900.0</v>
      </c>
      <c r="W42" s="52" t="b">
        <v>0</v>
      </c>
      <c r="X42" s="53" t="b">
        <v>0</v>
      </c>
      <c r="Y42" s="49">
        <v>0.0</v>
      </c>
      <c r="Z42" s="1"/>
    </row>
    <row r="43">
      <c r="A43" s="48" t="s">
        <v>57</v>
      </c>
      <c r="B43" s="49">
        <v>0.0</v>
      </c>
      <c r="C43" s="64" t="str">
        <f>IF(AND(F43=E43,E43=F43),"$0","$4.800")</f>
        <v>$0</v>
      </c>
      <c r="D43" s="51">
        <v>4800.0</v>
      </c>
      <c r="E43" s="52" t="b">
        <v>0</v>
      </c>
      <c r="F43" s="53" t="b">
        <v>0</v>
      </c>
      <c r="G43" s="49">
        <v>0.0</v>
      </c>
      <c r="H43" s="54"/>
      <c r="I43" s="63"/>
      <c r="J43" s="48" t="s">
        <v>57</v>
      </c>
      <c r="K43" s="49">
        <v>26900.0</v>
      </c>
      <c r="L43" s="64" t="str">
        <f>IF(AND(O43=N43,N43=O43),"$0","$4.800")</f>
        <v>$0</v>
      </c>
      <c r="M43" s="51">
        <v>4800.0</v>
      </c>
      <c r="N43" s="52" t="b">
        <v>0</v>
      </c>
      <c r="O43" s="53" t="b">
        <v>0</v>
      </c>
      <c r="P43" s="49">
        <v>0.0</v>
      </c>
      <c r="Q43" s="25"/>
      <c r="R43" s="25"/>
      <c r="S43" s="48" t="s">
        <v>57</v>
      </c>
      <c r="T43" s="49">
        <v>0.0</v>
      </c>
      <c r="U43" s="64" t="str">
        <f>IF(AND(X43=W43,W43=X43),"$0","$4.800")</f>
        <v>$0</v>
      </c>
      <c r="V43" s="51">
        <v>4800.0</v>
      </c>
      <c r="W43" s="52" t="b">
        <v>0</v>
      </c>
      <c r="X43" s="53" t="b">
        <v>0</v>
      </c>
      <c r="Y43" s="49">
        <v>0.0</v>
      </c>
      <c r="Z43" s="1"/>
    </row>
    <row r="44">
      <c r="A44" s="48" t="s">
        <v>58</v>
      </c>
      <c r="B44" s="49">
        <v>0.0</v>
      </c>
      <c r="C44" s="64" t="str">
        <f>IF(AND(F44=E44,E44=F44),"$0","$11.100")</f>
        <v>$0</v>
      </c>
      <c r="D44" s="51">
        <v>11100.0</v>
      </c>
      <c r="E44" s="52" t="b">
        <v>0</v>
      </c>
      <c r="F44" s="53" t="b">
        <v>0</v>
      </c>
      <c r="G44" s="49">
        <v>0.0</v>
      </c>
      <c r="H44" s="54"/>
      <c r="I44" s="63"/>
      <c r="J44" s="48" t="s">
        <v>58</v>
      </c>
      <c r="K44" s="49">
        <v>0.0</v>
      </c>
      <c r="L44" s="64" t="str">
        <f>IF(AND(O44=N44,N44=O44),"$0","$11.100")</f>
        <v>$0</v>
      </c>
      <c r="M44" s="51">
        <v>11100.0</v>
      </c>
      <c r="N44" s="52" t="b">
        <v>0</v>
      </c>
      <c r="O44" s="53" t="b">
        <v>0</v>
      </c>
      <c r="P44" s="49">
        <v>0.0</v>
      </c>
      <c r="Q44" s="25"/>
      <c r="R44" s="25"/>
      <c r="S44" s="48" t="s">
        <v>58</v>
      </c>
      <c r="T44" s="49">
        <v>0.0</v>
      </c>
      <c r="U44" s="64" t="str">
        <f>IF(AND(X44=W44,W44=X44),"$0","$11.100")</f>
        <v>$0</v>
      </c>
      <c r="V44" s="51">
        <v>11100.0</v>
      </c>
      <c r="W44" s="52" t="b">
        <v>0</v>
      </c>
      <c r="X44" s="53" t="b">
        <v>0</v>
      </c>
      <c r="Y44" s="49">
        <v>0.0</v>
      </c>
      <c r="Z44" s="1"/>
    </row>
    <row r="45">
      <c r="A45" s="58" t="s">
        <v>59</v>
      </c>
      <c r="B45" s="49">
        <v>0.0</v>
      </c>
      <c r="C45" s="50" t="str">
        <f>IF(AND(F45=E45,E45=F45),"$0","$25.600")</f>
        <v>$25.600</v>
      </c>
      <c r="D45" s="66">
        <v>25600.0</v>
      </c>
      <c r="E45" s="52" t="b">
        <v>0</v>
      </c>
      <c r="F45" s="53" t="b">
        <v>1</v>
      </c>
      <c r="G45" s="49">
        <v>0.0</v>
      </c>
      <c r="H45" s="54"/>
      <c r="I45" s="67"/>
      <c r="J45" s="58" t="s">
        <v>59</v>
      </c>
      <c r="K45" s="49">
        <v>0.0</v>
      </c>
      <c r="L45" s="50" t="str">
        <f>IF(AND(O45=N45,N45=O45),"$0","$25.600")</f>
        <v>$25.600</v>
      </c>
      <c r="M45" s="66">
        <v>25600.0</v>
      </c>
      <c r="N45" s="52" t="b">
        <v>0</v>
      </c>
      <c r="O45" s="53" t="b">
        <v>1</v>
      </c>
      <c r="P45" s="49">
        <v>0.0</v>
      </c>
      <c r="Q45" s="25"/>
      <c r="R45" s="25"/>
      <c r="S45" s="58" t="s">
        <v>59</v>
      </c>
      <c r="T45" s="49">
        <v>0.0</v>
      </c>
      <c r="U45" s="50" t="str">
        <f>IF(AND(X45=W45,W45=X45),"$0","$25.600")</f>
        <v>$0</v>
      </c>
      <c r="V45" s="66">
        <v>25600.0</v>
      </c>
      <c r="W45" s="52" t="b">
        <v>0</v>
      </c>
      <c r="X45" s="53" t="b">
        <v>0</v>
      </c>
      <c r="Y45" s="49">
        <v>0.0</v>
      </c>
      <c r="Z45" s="1"/>
    </row>
    <row r="46">
      <c r="A46" s="48" t="s">
        <v>59</v>
      </c>
      <c r="B46" s="49">
        <v>0.0</v>
      </c>
      <c r="C46" s="50" t="str">
        <f>IF(AND(F46=E46,E46=F46),"$0","$10.000")</f>
        <v>$10.000</v>
      </c>
      <c r="D46" s="65">
        <v>10000.0</v>
      </c>
      <c r="E46" s="52" t="b">
        <v>0</v>
      </c>
      <c r="F46" s="53" t="b">
        <v>1</v>
      </c>
      <c r="G46" s="49">
        <v>0.0</v>
      </c>
      <c r="H46" s="54"/>
      <c r="I46" s="63"/>
      <c r="J46" s="48" t="s">
        <v>59</v>
      </c>
      <c r="K46" s="49">
        <v>0.0</v>
      </c>
      <c r="L46" s="50" t="str">
        <f>IF(AND(O46=N46,N46=O46),"$0","$10.000")</f>
        <v>$0</v>
      </c>
      <c r="M46" s="65">
        <v>10000.0</v>
      </c>
      <c r="N46" s="52" t="b">
        <v>0</v>
      </c>
      <c r="O46" s="53" t="b">
        <v>0</v>
      </c>
      <c r="P46" s="49">
        <v>0.0</v>
      </c>
      <c r="Q46" s="25"/>
      <c r="R46" s="25"/>
      <c r="S46" s="48" t="s">
        <v>59</v>
      </c>
      <c r="T46" s="49">
        <v>0.0</v>
      </c>
      <c r="U46" s="50" t="str">
        <f>IF(AND(X46=W46,W46=X46),"$0","$10.000")</f>
        <v>$0</v>
      </c>
      <c r="V46" s="65">
        <v>10000.0</v>
      </c>
      <c r="W46" s="52" t="b">
        <v>0</v>
      </c>
      <c r="X46" s="53" t="b">
        <v>0</v>
      </c>
      <c r="Y46" s="49">
        <v>0.0</v>
      </c>
      <c r="Z46" s="1"/>
    </row>
    <row r="47">
      <c r="A47" s="58" t="s">
        <v>60</v>
      </c>
      <c r="B47" s="49">
        <v>0.0</v>
      </c>
      <c r="C47" s="50" t="str">
        <f>IF(AND(F47=E47,E47=F47),"$0","$7.000")</f>
        <v>$7.000</v>
      </c>
      <c r="D47" s="51">
        <v>7000.0</v>
      </c>
      <c r="E47" s="52" t="b">
        <v>0</v>
      </c>
      <c r="F47" s="53" t="b">
        <v>1</v>
      </c>
      <c r="G47" s="49">
        <v>0.0</v>
      </c>
      <c r="H47" s="54"/>
      <c r="I47" s="63"/>
      <c r="J47" s="58" t="s">
        <v>60</v>
      </c>
      <c r="K47" s="49">
        <v>0.0</v>
      </c>
      <c r="L47" s="50" t="str">
        <f>IF(AND(O47=N47,N47=O47),"$0","$7.000")</f>
        <v>$7.000</v>
      </c>
      <c r="M47" s="51">
        <v>7000.0</v>
      </c>
      <c r="N47" s="52" t="b">
        <v>0</v>
      </c>
      <c r="O47" s="53" t="b">
        <v>1</v>
      </c>
      <c r="P47" s="49">
        <v>0.0</v>
      </c>
      <c r="Q47" s="25"/>
      <c r="R47" s="25"/>
      <c r="S47" s="58" t="s">
        <v>60</v>
      </c>
      <c r="T47" s="49">
        <v>0.0</v>
      </c>
      <c r="U47" s="50" t="str">
        <f>IF(AND(X47=W47,W47=X47),"$0","$7.000")</f>
        <v>$0</v>
      </c>
      <c r="V47" s="51">
        <v>7000.0</v>
      </c>
      <c r="W47" s="52" t="b">
        <v>0</v>
      </c>
      <c r="X47" s="53" t="b">
        <v>0</v>
      </c>
      <c r="Y47" s="49">
        <v>0.0</v>
      </c>
      <c r="Z47" s="1"/>
    </row>
    <row r="48">
      <c r="A48" s="48" t="s">
        <v>59</v>
      </c>
      <c r="B48" s="49">
        <v>0.0</v>
      </c>
      <c r="C48" s="50" t="str">
        <f>IF(AND(F48=E48,E48=F48),"$0","$20.000")</f>
        <v>$20.000</v>
      </c>
      <c r="D48" s="64">
        <v>20000.0</v>
      </c>
      <c r="E48" s="52" t="b">
        <v>0</v>
      </c>
      <c r="F48" s="53" t="b">
        <v>1</v>
      </c>
      <c r="G48" s="49">
        <v>0.0</v>
      </c>
      <c r="H48" s="54"/>
      <c r="I48" s="63"/>
      <c r="J48" s="48" t="s">
        <v>59</v>
      </c>
      <c r="K48" s="49">
        <v>0.0</v>
      </c>
      <c r="L48" s="50" t="str">
        <f>IF(AND(O48=N48,N48=O48),"$0","$20.000")</f>
        <v>$20.000</v>
      </c>
      <c r="M48" s="64">
        <v>20000.0</v>
      </c>
      <c r="N48" s="52" t="b">
        <v>0</v>
      </c>
      <c r="O48" s="53" t="b">
        <v>1</v>
      </c>
      <c r="P48" s="49">
        <v>0.0</v>
      </c>
      <c r="Q48" s="25"/>
      <c r="R48" s="25"/>
      <c r="S48" s="48" t="s">
        <v>59</v>
      </c>
      <c r="T48" s="49">
        <v>0.0</v>
      </c>
      <c r="U48" s="50" t="str">
        <f>IF(AND(X48=W48,W48=X48),"$0","$20.000")</f>
        <v>$0</v>
      </c>
      <c r="V48" s="64">
        <v>20000.0</v>
      </c>
      <c r="W48" s="52" t="b">
        <v>0</v>
      </c>
      <c r="X48" s="53" t="b">
        <v>0</v>
      </c>
      <c r="Y48" s="49">
        <v>0.0</v>
      </c>
      <c r="Z48" s="1"/>
    </row>
    <row r="49">
      <c r="A49" s="48" t="s">
        <v>61</v>
      </c>
      <c r="B49" s="49">
        <v>0.0</v>
      </c>
      <c r="C49" s="65" t="str">
        <f>IF(AND(F49=E49,E49=F49),"$0","$22.000")</f>
        <v>$0</v>
      </c>
      <c r="D49" s="65">
        <v>22000.0</v>
      </c>
      <c r="E49" s="52" t="b">
        <v>0</v>
      </c>
      <c r="F49" s="53" t="b">
        <v>0</v>
      </c>
      <c r="G49" s="49">
        <v>0.0</v>
      </c>
      <c r="H49" s="54"/>
      <c r="I49" s="63"/>
      <c r="J49" s="48" t="s">
        <v>61</v>
      </c>
      <c r="K49" s="49">
        <v>0.0</v>
      </c>
      <c r="L49" s="65" t="str">
        <f>IF(AND(O49=N49,N49=O49),"$0","$22.000")</f>
        <v>$0</v>
      </c>
      <c r="M49" s="65">
        <v>22000.0</v>
      </c>
      <c r="N49" s="52" t="b">
        <v>0</v>
      </c>
      <c r="O49" s="53" t="b">
        <v>0</v>
      </c>
      <c r="P49" s="49">
        <v>0.0</v>
      </c>
      <c r="Q49" s="25"/>
      <c r="R49" s="25"/>
      <c r="S49" s="48" t="s">
        <v>61</v>
      </c>
      <c r="T49" s="49">
        <v>0.0</v>
      </c>
      <c r="U49" s="65" t="str">
        <f>IF(AND(X49=W49,W49=X49),"$0","$22.000")</f>
        <v>$0</v>
      </c>
      <c r="V49" s="65">
        <v>22000.0</v>
      </c>
      <c r="W49" s="52" t="b">
        <v>0</v>
      </c>
      <c r="X49" s="53" t="b">
        <v>0</v>
      </c>
      <c r="Y49" s="49">
        <v>0.0</v>
      </c>
      <c r="Z49" s="1"/>
    </row>
    <row r="50">
      <c r="A50" s="48" t="s">
        <v>61</v>
      </c>
      <c r="B50" s="49">
        <v>0.0</v>
      </c>
      <c r="C50" s="65" t="str">
        <f>IF(AND(F50=E50,E50=F50),"$0","$6.300")</f>
        <v>$0</v>
      </c>
      <c r="D50" s="66">
        <v>6300.0</v>
      </c>
      <c r="E50" s="52" t="b">
        <v>0</v>
      </c>
      <c r="F50" s="53" t="b">
        <v>0</v>
      </c>
      <c r="G50" s="49">
        <v>0.0</v>
      </c>
      <c r="H50" s="54"/>
      <c r="I50" s="67"/>
      <c r="J50" s="48" t="s">
        <v>61</v>
      </c>
      <c r="K50" s="49">
        <v>0.0</v>
      </c>
      <c r="L50" s="65" t="str">
        <f>IF(AND(O50=N50,N50=O50),"$0","$6.300")</f>
        <v>$0</v>
      </c>
      <c r="M50" s="66">
        <v>6300.0</v>
      </c>
      <c r="N50" s="52" t="b">
        <v>0</v>
      </c>
      <c r="O50" s="53" t="b">
        <v>0</v>
      </c>
      <c r="P50" s="49">
        <v>75600.0</v>
      </c>
      <c r="Q50" s="25"/>
      <c r="R50" s="25"/>
      <c r="S50" s="48" t="s">
        <v>61</v>
      </c>
      <c r="T50" s="49">
        <v>0.0</v>
      </c>
      <c r="U50" s="65" t="str">
        <f>IF(AND(X50=W50,W50=X50),"$0","$6.300")</f>
        <v>$0</v>
      </c>
      <c r="V50" s="66">
        <v>6300.0</v>
      </c>
      <c r="W50" s="52" t="b">
        <v>0</v>
      </c>
      <c r="X50" s="53" t="b">
        <v>0</v>
      </c>
      <c r="Y50" s="49">
        <v>0.0</v>
      </c>
      <c r="Z50" s="1"/>
    </row>
    <row r="51">
      <c r="A51" s="48" t="s">
        <v>61</v>
      </c>
      <c r="B51" s="49">
        <v>10000.0</v>
      </c>
      <c r="C51" s="65" t="str">
        <f>IF(AND(F51=E51,E51=F51),"$0","$15.000")</f>
        <v>$0</v>
      </c>
      <c r="D51" s="66">
        <v>15000.0</v>
      </c>
      <c r="E51" s="52" t="b">
        <v>0</v>
      </c>
      <c r="F51" s="53" t="b">
        <v>0</v>
      </c>
      <c r="G51" s="49">
        <v>0.0</v>
      </c>
      <c r="H51" s="54"/>
      <c r="I51" s="67"/>
      <c r="J51" s="48" t="s">
        <v>61</v>
      </c>
      <c r="K51" s="49">
        <v>0.0</v>
      </c>
      <c r="L51" s="65" t="str">
        <f>IF(AND(O51=N51,N51=O51),"$0","$15.000")</f>
        <v>$0</v>
      </c>
      <c r="M51" s="66">
        <v>15000.0</v>
      </c>
      <c r="N51" s="52" t="b">
        <v>0</v>
      </c>
      <c r="O51" s="53" t="b">
        <v>0</v>
      </c>
      <c r="P51" s="49">
        <v>0.0</v>
      </c>
      <c r="Q51" s="25"/>
      <c r="R51" s="25"/>
      <c r="S51" s="48" t="s">
        <v>61</v>
      </c>
      <c r="T51" s="49">
        <v>0.0</v>
      </c>
      <c r="U51" s="65" t="str">
        <f>IF(AND(X51=W51,W51=X51),"$0","$15.000")</f>
        <v>$0</v>
      </c>
      <c r="V51" s="66">
        <v>15000.0</v>
      </c>
      <c r="W51" s="52" t="b">
        <v>0</v>
      </c>
      <c r="X51" s="53" t="b">
        <v>0</v>
      </c>
      <c r="Y51" s="49">
        <v>0.0</v>
      </c>
      <c r="Z51" s="1"/>
    </row>
    <row r="52">
      <c r="A52" s="48" t="s">
        <v>61</v>
      </c>
      <c r="B52" s="49">
        <v>0.0</v>
      </c>
      <c r="C52" s="64" t="str">
        <f>IF(AND(F52=E52,E52=F52),"$0","$17.000")</f>
        <v>$0</v>
      </c>
      <c r="D52" s="64">
        <v>17000.0</v>
      </c>
      <c r="E52" s="52" t="b">
        <v>0</v>
      </c>
      <c r="F52" s="53" t="b">
        <v>0</v>
      </c>
      <c r="G52" s="49">
        <v>0.0</v>
      </c>
      <c r="H52" s="54"/>
      <c r="I52" s="63"/>
      <c r="J52" s="48" t="s">
        <v>61</v>
      </c>
      <c r="K52" s="49">
        <v>0.0</v>
      </c>
      <c r="L52" s="64" t="str">
        <f>IF(AND(O52=N52,N52=O52),"$0","$17.000")</f>
        <v>$0</v>
      </c>
      <c r="M52" s="64">
        <v>17000.0</v>
      </c>
      <c r="N52" s="52" t="b">
        <v>0</v>
      </c>
      <c r="O52" s="53" t="b">
        <v>0</v>
      </c>
      <c r="P52" s="49">
        <v>0.0</v>
      </c>
      <c r="Q52" s="25"/>
      <c r="R52" s="25"/>
      <c r="S52" s="48" t="s">
        <v>61</v>
      </c>
      <c r="T52" s="49">
        <v>0.0</v>
      </c>
      <c r="U52" s="64" t="str">
        <f>IF(AND(X52=W52,W52=X52),"$0","$17.000")</f>
        <v>$0</v>
      </c>
      <c r="V52" s="64">
        <v>17000.0</v>
      </c>
      <c r="W52" s="52" t="b">
        <v>0</v>
      </c>
      <c r="X52" s="53" t="b">
        <v>0</v>
      </c>
      <c r="Y52" s="49">
        <v>0.0</v>
      </c>
      <c r="Z52" s="1"/>
    </row>
    <row r="53">
      <c r="A53" s="58" t="s">
        <v>62</v>
      </c>
      <c r="B53" s="49">
        <v>0.0</v>
      </c>
      <c r="C53" s="65" t="str">
        <f>IF(AND(F53=E53,E53=F53),"$0","$29,870")</f>
        <v>$0</v>
      </c>
      <c r="D53" s="66">
        <v>29870.0</v>
      </c>
      <c r="E53" s="52" t="b">
        <v>0</v>
      </c>
      <c r="F53" s="53" t="b">
        <v>0</v>
      </c>
      <c r="G53" s="49">
        <v>60000.0</v>
      </c>
      <c r="H53" s="54"/>
      <c r="I53" s="63"/>
      <c r="J53" s="58" t="s">
        <v>62</v>
      </c>
      <c r="K53" s="49">
        <v>0.0</v>
      </c>
      <c r="L53" s="65" t="str">
        <f>IF(AND(O53=N53,N53=O53),"$0","$29,870")</f>
        <v>$0</v>
      </c>
      <c r="M53" s="66">
        <v>29870.0</v>
      </c>
      <c r="N53" s="52" t="b">
        <v>0</v>
      </c>
      <c r="O53" s="53" t="b">
        <v>0</v>
      </c>
      <c r="P53" s="49">
        <v>0.0</v>
      </c>
      <c r="Q53" s="25"/>
      <c r="R53" s="25"/>
      <c r="S53" s="58" t="s">
        <v>62</v>
      </c>
      <c r="T53" s="49">
        <v>0.0</v>
      </c>
      <c r="U53" s="65" t="str">
        <f>IF(AND(X53=W53,W53=X53),"$0","$29,870")</f>
        <v>$0</v>
      </c>
      <c r="V53" s="66">
        <v>29870.0</v>
      </c>
      <c r="W53" s="52" t="b">
        <v>0</v>
      </c>
      <c r="X53" s="53" t="b">
        <v>0</v>
      </c>
      <c r="Y53" s="49">
        <v>0.0</v>
      </c>
      <c r="Z53" s="1"/>
    </row>
    <row r="54">
      <c r="A54" s="58" t="s">
        <v>63</v>
      </c>
      <c r="B54" s="49">
        <v>0.0</v>
      </c>
      <c r="C54" s="65" t="str">
        <f>IF(AND(F54=E54,E54=F54),"$0","$42.700")</f>
        <v>$42.700</v>
      </c>
      <c r="D54" s="66">
        <v>42700.0</v>
      </c>
      <c r="E54" s="52" t="b">
        <v>1</v>
      </c>
      <c r="F54" s="53" t="b">
        <v>0</v>
      </c>
      <c r="G54" s="49">
        <v>0.0</v>
      </c>
      <c r="H54" s="54"/>
      <c r="I54" s="63"/>
      <c r="J54" s="58" t="s">
        <v>63</v>
      </c>
      <c r="K54" s="49">
        <v>0.0</v>
      </c>
      <c r="L54" s="65" t="str">
        <f>IF(AND(O54=N54,N54=O54),"$0","$42.700")</f>
        <v>$42.700</v>
      </c>
      <c r="M54" s="66">
        <v>42700.0</v>
      </c>
      <c r="N54" s="52" t="b">
        <v>1</v>
      </c>
      <c r="O54" s="53" t="b">
        <v>0</v>
      </c>
      <c r="P54" s="49">
        <v>0.0</v>
      </c>
      <c r="Q54" s="25"/>
      <c r="R54" s="25"/>
      <c r="S54" s="58" t="s">
        <v>63</v>
      </c>
      <c r="T54" s="49">
        <v>0.0</v>
      </c>
      <c r="U54" s="65" t="str">
        <f>IF(AND(X54=W54,W54=X54),"$0","$42.700")</f>
        <v>$0</v>
      </c>
      <c r="V54" s="66">
        <v>42700.0</v>
      </c>
      <c r="W54" s="52" t="b">
        <v>0</v>
      </c>
      <c r="X54" s="53" t="b">
        <v>0</v>
      </c>
      <c r="Y54" s="49">
        <v>0.0</v>
      </c>
      <c r="Z54" s="1"/>
    </row>
    <row r="55">
      <c r="A55" s="48" t="s">
        <v>64</v>
      </c>
      <c r="B55" s="49">
        <v>10000.0</v>
      </c>
      <c r="C55" s="65" t="str">
        <f t="shared" ref="C55:C56" si="13">IF(AND(F55=E55,E55=F55),"$0","$9.500")</f>
        <v>$0</v>
      </c>
      <c r="D55" s="66">
        <v>9500.0</v>
      </c>
      <c r="E55" s="52" t="b">
        <v>0</v>
      </c>
      <c r="F55" s="53" t="b">
        <v>0</v>
      </c>
      <c r="G55" s="49">
        <v>0.0</v>
      </c>
      <c r="H55" s="54"/>
      <c r="I55" s="63"/>
      <c r="J55" s="48" t="s">
        <v>64</v>
      </c>
      <c r="K55" s="49">
        <v>0.0</v>
      </c>
      <c r="L55" s="65" t="str">
        <f t="shared" ref="L55:L56" si="14">IF(AND(O55=N55,N55=O55),"$0","$9.500")</f>
        <v>$9.500</v>
      </c>
      <c r="M55" s="66">
        <v>9500.0</v>
      </c>
      <c r="N55" s="52" t="b">
        <v>0</v>
      </c>
      <c r="O55" s="53" t="b">
        <v>1</v>
      </c>
      <c r="P55" s="49">
        <v>0.0</v>
      </c>
      <c r="Q55" s="25"/>
      <c r="R55" s="25"/>
      <c r="S55" s="48" t="s">
        <v>64</v>
      </c>
      <c r="T55" s="49">
        <v>0.0</v>
      </c>
      <c r="U55" s="65" t="str">
        <f t="shared" ref="U55:U56" si="15">IF(AND(X55=W55,W55=X55),"$0","$9.500")</f>
        <v>$0</v>
      </c>
      <c r="V55" s="66">
        <v>9500.0</v>
      </c>
      <c r="W55" s="52" t="b">
        <v>0</v>
      </c>
      <c r="X55" s="53" t="b">
        <v>0</v>
      </c>
      <c r="Y55" s="49">
        <v>0.0</v>
      </c>
      <c r="Z55" s="1"/>
    </row>
    <row r="56">
      <c r="A56" s="48" t="s">
        <v>64</v>
      </c>
      <c r="B56" s="49">
        <v>0.0</v>
      </c>
      <c r="C56" s="65" t="str">
        <f t="shared" si="13"/>
        <v>$9.500</v>
      </c>
      <c r="D56" s="66">
        <v>9700.0</v>
      </c>
      <c r="E56" s="52" t="b">
        <v>1</v>
      </c>
      <c r="F56" s="53" t="b">
        <v>0</v>
      </c>
      <c r="G56" s="49">
        <v>0.0</v>
      </c>
      <c r="H56" s="54"/>
      <c r="I56" s="63"/>
      <c r="J56" s="48" t="s">
        <v>64</v>
      </c>
      <c r="K56" s="49">
        <v>0.0</v>
      </c>
      <c r="L56" s="65" t="str">
        <f t="shared" si="14"/>
        <v>$9.500</v>
      </c>
      <c r="M56" s="66">
        <v>9700.0</v>
      </c>
      <c r="N56" s="52" t="b">
        <v>0</v>
      </c>
      <c r="O56" s="53" t="b">
        <v>1</v>
      </c>
      <c r="P56" s="49">
        <v>0.0</v>
      </c>
      <c r="Q56" s="25"/>
      <c r="R56" s="25"/>
      <c r="S56" s="48" t="s">
        <v>64</v>
      </c>
      <c r="T56" s="49">
        <v>0.0</v>
      </c>
      <c r="U56" s="65" t="str">
        <f t="shared" si="15"/>
        <v>$0</v>
      </c>
      <c r="V56" s="66">
        <v>9700.0</v>
      </c>
      <c r="W56" s="52" t="b">
        <v>0</v>
      </c>
      <c r="X56" s="53" t="b">
        <v>0</v>
      </c>
      <c r="Y56" s="49">
        <v>0.0</v>
      </c>
      <c r="Z56" s="1"/>
    </row>
    <row r="57">
      <c r="A57" s="48" t="s">
        <v>65</v>
      </c>
      <c r="B57" s="49">
        <v>0.0</v>
      </c>
      <c r="C57" s="64" t="str">
        <f t="shared" ref="C57:C58" si="16">IF(AND(F57=E57,E57=F57),"$0","$10.000")</f>
        <v>$10.000</v>
      </c>
      <c r="D57" s="51">
        <v>10000.0</v>
      </c>
      <c r="E57" s="52" t="b">
        <v>1</v>
      </c>
      <c r="F57" s="53" t="b">
        <v>0</v>
      </c>
      <c r="G57" s="49">
        <v>0.0</v>
      </c>
      <c r="H57" s="54"/>
      <c r="I57" s="63"/>
      <c r="J57" s="48" t="s">
        <v>65</v>
      </c>
      <c r="K57" s="49">
        <v>0.0</v>
      </c>
      <c r="L57" s="64" t="str">
        <f t="shared" ref="L57:L58" si="17">IF(AND(O57=N57,N57=O57),"$0","$10.000")</f>
        <v>$0</v>
      </c>
      <c r="M57" s="51">
        <v>10000.0</v>
      </c>
      <c r="N57" s="52" t="b">
        <v>0</v>
      </c>
      <c r="O57" s="53" t="b">
        <v>0</v>
      </c>
      <c r="P57" s="49">
        <v>0.0</v>
      </c>
      <c r="Q57" s="25"/>
      <c r="R57" s="25"/>
      <c r="S57" s="48" t="s">
        <v>65</v>
      </c>
      <c r="T57" s="49">
        <v>0.0</v>
      </c>
      <c r="U57" s="64" t="str">
        <f t="shared" ref="U57:U58" si="18">IF(AND(X57=W57,W57=X57),"$0","$10.000")</f>
        <v>$0</v>
      </c>
      <c r="V57" s="51">
        <v>10000.0</v>
      </c>
      <c r="W57" s="52" t="b">
        <v>0</v>
      </c>
      <c r="X57" s="53" t="b">
        <v>0</v>
      </c>
      <c r="Y57" s="49">
        <v>0.0</v>
      </c>
      <c r="Z57" s="1"/>
    </row>
    <row r="58">
      <c r="A58" s="48" t="s">
        <v>66</v>
      </c>
      <c r="B58" s="49">
        <v>0.0</v>
      </c>
      <c r="C58" s="64" t="str">
        <f t="shared" si="16"/>
        <v>$10.000</v>
      </c>
      <c r="D58" s="51">
        <v>10000.0</v>
      </c>
      <c r="E58" s="52" t="b">
        <v>1</v>
      </c>
      <c r="F58" s="53" t="b">
        <v>0</v>
      </c>
      <c r="G58" s="49">
        <v>0.0</v>
      </c>
      <c r="H58" s="54"/>
      <c r="I58" s="63"/>
      <c r="J58" s="48" t="s">
        <v>66</v>
      </c>
      <c r="K58" s="49">
        <v>0.0</v>
      </c>
      <c r="L58" s="64" t="str">
        <f t="shared" si="17"/>
        <v>$10.000</v>
      </c>
      <c r="M58" s="51">
        <v>10000.0</v>
      </c>
      <c r="N58" s="52" t="b">
        <v>1</v>
      </c>
      <c r="O58" s="53" t="b">
        <v>0</v>
      </c>
      <c r="P58" s="49">
        <v>0.0</v>
      </c>
      <c r="Q58" s="25"/>
      <c r="R58" s="25"/>
      <c r="S58" s="48" t="s">
        <v>66</v>
      </c>
      <c r="T58" s="49">
        <v>0.0</v>
      </c>
      <c r="U58" s="64" t="str">
        <f t="shared" si="18"/>
        <v>$0</v>
      </c>
      <c r="V58" s="51">
        <v>10000.0</v>
      </c>
      <c r="W58" s="52" t="b">
        <v>0</v>
      </c>
      <c r="X58" s="53" t="b">
        <v>0</v>
      </c>
      <c r="Y58" s="49">
        <v>0.0</v>
      </c>
      <c r="Z58" s="1"/>
    </row>
    <row r="59">
      <c r="A59" s="48" t="s">
        <v>67</v>
      </c>
      <c r="B59" s="49">
        <v>0.0</v>
      </c>
      <c r="C59" s="65" t="str">
        <f>IF(AND(F59=E59,E59=F59),"$0","$10.500")</f>
        <v>$0</v>
      </c>
      <c r="D59" s="66">
        <v>10500.0</v>
      </c>
      <c r="E59" s="52" t="b">
        <v>0</v>
      </c>
      <c r="F59" s="53" t="b">
        <v>0</v>
      </c>
      <c r="G59" s="49">
        <v>0.0</v>
      </c>
      <c r="H59" s="54"/>
      <c r="I59" s="63"/>
      <c r="J59" s="48" t="s">
        <v>67</v>
      </c>
      <c r="K59" s="49">
        <v>0.0</v>
      </c>
      <c r="L59" s="65" t="str">
        <f>IF(AND(O59=N59,N59=O59),"$0","$10.500")</f>
        <v>$0</v>
      </c>
      <c r="M59" s="66">
        <v>10500.0</v>
      </c>
      <c r="N59" s="52" t="b">
        <v>0</v>
      </c>
      <c r="O59" s="53" t="b">
        <v>0</v>
      </c>
      <c r="P59" s="49">
        <v>0.0</v>
      </c>
      <c r="Q59" s="25"/>
      <c r="R59" s="25"/>
      <c r="S59" s="48" t="s">
        <v>67</v>
      </c>
      <c r="T59" s="49">
        <v>0.0</v>
      </c>
      <c r="U59" s="65" t="str">
        <f>IF(AND(X59=W59,W59=X59),"$0","$10.500")</f>
        <v>$0</v>
      </c>
      <c r="V59" s="66">
        <v>10500.0</v>
      </c>
      <c r="W59" s="52" t="b">
        <v>0</v>
      </c>
      <c r="X59" s="53" t="b">
        <v>0</v>
      </c>
      <c r="Y59" s="49">
        <v>0.0</v>
      </c>
      <c r="Z59" s="1"/>
    </row>
    <row r="60">
      <c r="A60" s="48" t="s">
        <v>67</v>
      </c>
      <c r="B60" s="49">
        <v>0.0</v>
      </c>
      <c r="C60" s="65" t="str">
        <f>IF(AND(F60=E60,E60=F60),"$0","$13.400")</f>
        <v>$0</v>
      </c>
      <c r="D60" s="65">
        <v>13400.0</v>
      </c>
      <c r="E60" s="52" t="b">
        <v>0</v>
      </c>
      <c r="F60" s="53" t="b">
        <v>0</v>
      </c>
      <c r="G60" s="49">
        <v>0.0</v>
      </c>
      <c r="H60" s="54"/>
      <c r="I60" s="63"/>
      <c r="J60" s="48" t="s">
        <v>67</v>
      </c>
      <c r="K60" s="49">
        <v>0.0</v>
      </c>
      <c r="L60" s="65" t="str">
        <f>IF(AND(O60=N60,N60=O60),"$0","$13.400")</f>
        <v>$0</v>
      </c>
      <c r="M60" s="65">
        <v>13400.0</v>
      </c>
      <c r="N60" s="52" t="b">
        <v>0</v>
      </c>
      <c r="O60" s="53" t="b">
        <v>0</v>
      </c>
      <c r="P60" s="49">
        <v>0.0</v>
      </c>
      <c r="Q60" s="25"/>
      <c r="R60" s="25"/>
      <c r="S60" s="48" t="s">
        <v>67</v>
      </c>
      <c r="T60" s="49">
        <v>0.0</v>
      </c>
      <c r="U60" s="65" t="str">
        <f>IF(AND(X60=W60,W60=X60),"$0","$13.400")</f>
        <v>$0</v>
      </c>
      <c r="V60" s="65">
        <v>13400.0</v>
      </c>
      <c r="W60" s="52" t="b">
        <v>0</v>
      </c>
      <c r="X60" s="53" t="b">
        <v>0</v>
      </c>
      <c r="Y60" s="49">
        <v>0.0</v>
      </c>
      <c r="Z60" s="1"/>
    </row>
    <row r="61">
      <c r="A61" s="48" t="s">
        <v>68</v>
      </c>
      <c r="B61" s="49">
        <v>0.0</v>
      </c>
      <c r="C61" s="50" t="str">
        <f>IF(AND(F61=E61,E61=F61),"$0","$16.700")</f>
        <v>$16.700</v>
      </c>
      <c r="D61" s="51">
        <v>16700.0</v>
      </c>
      <c r="E61" s="52" t="b">
        <v>0</v>
      </c>
      <c r="F61" s="53" t="b">
        <v>1</v>
      </c>
      <c r="G61" s="49">
        <v>0.0</v>
      </c>
      <c r="H61" s="54"/>
      <c r="I61" s="63"/>
      <c r="J61" s="48" t="s">
        <v>68</v>
      </c>
      <c r="K61" s="49">
        <v>0.0</v>
      </c>
      <c r="L61" s="50" t="str">
        <f>IF(AND(O61=N61,N61=O61),"$0","$16.700")</f>
        <v>$0</v>
      </c>
      <c r="M61" s="51">
        <v>16700.0</v>
      </c>
      <c r="N61" s="52" t="b">
        <v>0</v>
      </c>
      <c r="O61" s="53" t="b">
        <v>0</v>
      </c>
      <c r="P61" s="49">
        <v>0.0</v>
      </c>
      <c r="Q61" s="25"/>
      <c r="R61" s="25"/>
      <c r="S61" s="48" t="s">
        <v>68</v>
      </c>
      <c r="T61" s="49">
        <v>0.0</v>
      </c>
      <c r="U61" s="50" t="str">
        <f>IF(AND(X61=W61,W61=X61),"$0","$16.700")</f>
        <v>$0</v>
      </c>
      <c r="V61" s="51">
        <v>16700.0</v>
      </c>
      <c r="W61" s="52" t="b">
        <v>0</v>
      </c>
      <c r="X61" s="53" t="b">
        <v>0</v>
      </c>
      <c r="Y61" s="49">
        <v>0.0</v>
      </c>
      <c r="Z61" s="1"/>
    </row>
    <row r="62">
      <c r="A62" s="68" t="s">
        <v>69</v>
      </c>
      <c r="B62" s="49">
        <v>0.0</v>
      </c>
      <c r="C62" s="64" t="str">
        <f>IF(AND(F62=E62,E62=F62),"$0","$8.000")</f>
        <v>$8.000</v>
      </c>
      <c r="D62" s="51">
        <v>8000.0</v>
      </c>
      <c r="E62" s="52" t="b">
        <v>0</v>
      </c>
      <c r="F62" s="53" t="b">
        <v>1</v>
      </c>
      <c r="G62" s="49">
        <v>0.0</v>
      </c>
      <c r="H62" s="54"/>
      <c r="I62" s="63"/>
      <c r="J62" s="68" t="s">
        <v>69</v>
      </c>
      <c r="K62" s="49">
        <v>0.0</v>
      </c>
      <c r="L62" s="64" t="str">
        <f>IF(AND(O62=N62,N62=O62),"$0","$8.000")</f>
        <v>$8.000</v>
      </c>
      <c r="M62" s="51">
        <v>8000.0</v>
      </c>
      <c r="N62" s="52" t="b">
        <v>0</v>
      </c>
      <c r="O62" s="53" t="b">
        <v>1</v>
      </c>
      <c r="P62" s="49">
        <v>0.0</v>
      </c>
      <c r="Q62" s="25"/>
      <c r="R62" s="25"/>
      <c r="S62" s="68" t="s">
        <v>69</v>
      </c>
      <c r="T62" s="49">
        <v>0.0</v>
      </c>
      <c r="U62" s="64" t="str">
        <f>IF(AND(X62=W62,W62=X62),"$0","$8.000")</f>
        <v>$0</v>
      </c>
      <c r="V62" s="51">
        <v>8000.0</v>
      </c>
      <c r="W62" s="52" t="b">
        <v>0</v>
      </c>
      <c r="X62" s="53" t="b">
        <v>0</v>
      </c>
      <c r="Y62" s="49">
        <v>0.0</v>
      </c>
      <c r="Z62" s="1"/>
    </row>
    <row r="63">
      <c r="A63" s="69" t="s">
        <v>70</v>
      </c>
      <c r="B63" s="49">
        <v>0.0</v>
      </c>
      <c r="C63" s="64" t="str">
        <f>IF(AND(F63=E63,E63=F63),"$0","$15.900")</f>
        <v>$15.900</v>
      </c>
      <c r="D63" s="51">
        <v>15900.0</v>
      </c>
      <c r="E63" s="52" t="b">
        <v>0</v>
      </c>
      <c r="F63" s="53" t="b">
        <v>1</v>
      </c>
      <c r="G63" s="49">
        <v>0.0</v>
      </c>
      <c r="H63" s="54"/>
      <c r="I63" s="63"/>
      <c r="J63" s="69" t="s">
        <v>70</v>
      </c>
      <c r="K63" s="49">
        <v>0.0</v>
      </c>
      <c r="L63" s="64" t="str">
        <f>IF(AND(O63=N63,N63=O63),"$0","$15.900")</f>
        <v>$15.900</v>
      </c>
      <c r="M63" s="51">
        <v>15900.0</v>
      </c>
      <c r="N63" s="52" t="b">
        <v>1</v>
      </c>
      <c r="O63" s="53" t="b">
        <v>0</v>
      </c>
      <c r="P63" s="49">
        <v>0.0</v>
      </c>
      <c r="Q63" s="25"/>
      <c r="R63" s="25"/>
      <c r="S63" s="69" t="s">
        <v>70</v>
      </c>
      <c r="T63" s="49">
        <v>0.0</v>
      </c>
      <c r="U63" s="64" t="str">
        <f>IF(AND(X63=W63,W63=X63),"$0","$15.900")</f>
        <v>$0</v>
      </c>
      <c r="V63" s="51">
        <v>15900.0</v>
      </c>
      <c r="W63" s="52" t="b">
        <v>0</v>
      </c>
      <c r="X63" s="53" t="b">
        <v>0</v>
      </c>
      <c r="Y63" s="49">
        <v>0.0</v>
      </c>
      <c r="Z63" s="1"/>
    </row>
    <row r="64">
      <c r="A64" s="68" t="s">
        <v>71</v>
      </c>
      <c r="B64" s="49">
        <v>0.0</v>
      </c>
      <c r="C64" s="64" t="str">
        <f>IF(AND(F64=E64,E64=F64),"$0","$13.200")</f>
        <v>$0</v>
      </c>
      <c r="D64" s="51">
        <v>13200.0</v>
      </c>
      <c r="E64" s="52" t="b">
        <v>0</v>
      </c>
      <c r="F64" s="53" t="b">
        <v>0</v>
      </c>
      <c r="G64" s="49">
        <v>0.0</v>
      </c>
      <c r="H64" s="54"/>
      <c r="I64" s="63"/>
      <c r="J64" s="68" t="s">
        <v>71</v>
      </c>
      <c r="K64" s="49">
        <v>0.0</v>
      </c>
      <c r="L64" s="64" t="str">
        <f>IF(AND(O64=N64,N64=O64),"$0","$13.200")</f>
        <v>$0</v>
      </c>
      <c r="M64" s="51">
        <v>13200.0</v>
      </c>
      <c r="N64" s="52" t="b">
        <v>0</v>
      </c>
      <c r="O64" s="53" t="b">
        <v>0</v>
      </c>
      <c r="P64" s="49">
        <v>0.0</v>
      </c>
      <c r="Q64" s="25"/>
      <c r="R64" s="25"/>
      <c r="S64" s="68" t="s">
        <v>71</v>
      </c>
      <c r="T64" s="49">
        <v>0.0</v>
      </c>
      <c r="U64" s="64" t="str">
        <f>IF(AND(X64=W64,W64=X64),"$0","$13.200")</f>
        <v>$0</v>
      </c>
      <c r="V64" s="51">
        <v>13200.0</v>
      </c>
      <c r="W64" s="52" t="b">
        <v>0</v>
      </c>
      <c r="X64" s="53" t="b">
        <v>0</v>
      </c>
      <c r="Y64" s="49">
        <v>0.0</v>
      </c>
      <c r="Z64" s="1"/>
    </row>
    <row r="65">
      <c r="A65" s="68" t="s">
        <v>72</v>
      </c>
      <c r="B65" s="49">
        <v>0.0</v>
      </c>
      <c r="C65" s="50" t="str">
        <f>IF(AND(F65=E65,E65=F65),"$0","$15.000")</f>
        <v>$0</v>
      </c>
      <c r="D65" s="65">
        <v>15000.0</v>
      </c>
      <c r="E65" s="52" t="b">
        <v>0</v>
      </c>
      <c r="F65" s="53" t="b">
        <v>0</v>
      </c>
      <c r="G65" s="49">
        <v>0.0</v>
      </c>
      <c r="H65" s="54"/>
      <c r="I65" s="63"/>
      <c r="J65" s="68" t="s">
        <v>72</v>
      </c>
      <c r="K65" s="49">
        <v>5000.0</v>
      </c>
      <c r="L65" s="50" t="str">
        <f>IF(AND(O65=N65,N65=O65),"$0","$15.000")</f>
        <v>$0</v>
      </c>
      <c r="M65" s="65">
        <v>15000.0</v>
      </c>
      <c r="N65" s="52" t="b">
        <v>0</v>
      </c>
      <c r="O65" s="53" t="b">
        <v>0</v>
      </c>
      <c r="P65" s="49">
        <v>0.0</v>
      </c>
      <c r="Q65" s="25"/>
      <c r="R65" s="25"/>
      <c r="S65" s="68" t="s">
        <v>72</v>
      </c>
      <c r="T65" s="49">
        <v>0.0</v>
      </c>
      <c r="U65" s="50" t="str">
        <f>IF(AND(X65=W65,W65=X65),"$0","$15.000")</f>
        <v>$0</v>
      </c>
      <c r="V65" s="65">
        <v>15000.0</v>
      </c>
      <c r="W65" s="52" t="b">
        <v>0</v>
      </c>
      <c r="X65" s="53" t="b">
        <v>0</v>
      </c>
      <c r="Y65" s="49">
        <v>0.0</v>
      </c>
      <c r="Z65" s="1"/>
    </row>
    <row r="66">
      <c r="A66" s="48" t="s">
        <v>73</v>
      </c>
      <c r="B66" s="49">
        <v>0.0</v>
      </c>
      <c r="C66" s="65" t="str">
        <f>IF(AND(F66=E66,E66=F66),"$0","$27.300")</f>
        <v>$27.300</v>
      </c>
      <c r="D66" s="66">
        <v>27300.0</v>
      </c>
      <c r="E66" s="52" t="b">
        <v>0</v>
      </c>
      <c r="F66" s="53" t="b">
        <v>1</v>
      </c>
      <c r="G66" s="49">
        <v>0.0</v>
      </c>
      <c r="H66" s="54"/>
      <c r="I66" s="63"/>
      <c r="J66" s="48" t="s">
        <v>73</v>
      </c>
      <c r="K66" s="49">
        <v>0.0</v>
      </c>
      <c r="L66" s="65" t="str">
        <f>IF(AND(O66=N66,N66=O66),"$0","$27.300")</f>
        <v>$27.300</v>
      </c>
      <c r="M66" s="66">
        <v>27300.0</v>
      </c>
      <c r="N66" s="52" t="b">
        <v>0</v>
      </c>
      <c r="O66" s="53" t="b">
        <v>1</v>
      </c>
      <c r="P66" s="49">
        <v>0.0</v>
      </c>
      <c r="Q66" s="25"/>
      <c r="R66" s="25"/>
      <c r="S66" s="48" t="s">
        <v>73</v>
      </c>
      <c r="T66" s="49">
        <v>0.0</v>
      </c>
      <c r="U66" s="65" t="str">
        <f>IF(AND(X66=W66,W66=X66),"$0","$27.300")</f>
        <v>$0</v>
      </c>
      <c r="V66" s="66">
        <v>27300.0</v>
      </c>
      <c r="W66" s="52" t="b">
        <v>0</v>
      </c>
      <c r="X66" s="53" t="b">
        <v>0</v>
      </c>
      <c r="Y66" s="49">
        <v>0.0</v>
      </c>
      <c r="Z66" s="1"/>
    </row>
    <row r="67">
      <c r="A67" s="48" t="s">
        <v>74</v>
      </c>
      <c r="B67" s="49">
        <v>0.0</v>
      </c>
      <c r="C67" s="64" t="str">
        <f t="shared" ref="C67:C68" si="19">IF(AND(F67=E67,E67=F67),"$0","$10.000")</f>
        <v>$0</v>
      </c>
      <c r="D67" s="64">
        <v>10000.0</v>
      </c>
      <c r="E67" s="52" t="b">
        <v>0</v>
      </c>
      <c r="F67" s="53" t="b">
        <v>0</v>
      </c>
      <c r="G67" s="49">
        <v>0.0</v>
      </c>
      <c r="H67" s="54"/>
      <c r="I67" s="63"/>
      <c r="J67" s="48" t="s">
        <v>74</v>
      </c>
      <c r="K67" s="49">
        <v>0.0</v>
      </c>
      <c r="L67" s="64" t="str">
        <f t="shared" ref="L67:L68" si="20">IF(AND(O67=N67,N67=O67),"$0","$10.000")</f>
        <v>$0</v>
      </c>
      <c r="M67" s="64">
        <v>10000.0</v>
      </c>
      <c r="N67" s="52" t="b">
        <v>0</v>
      </c>
      <c r="O67" s="53" t="b">
        <v>0</v>
      </c>
      <c r="P67" s="49">
        <v>0.0</v>
      </c>
      <c r="Q67" s="25"/>
      <c r="R67" s="25"/>
      <c r="S67" s="48" t="s">
        <v>74</v>
      </c>
      <c r="T67" s="49">
        <v>0.0</v>
      </c>
      <c r="U67" s="64" t="str">
        <f t="shared" ref="U67:U68" si="21">IF(AND(X67=W67,W67=X67),"$0","$10.000")</f>
        <v>$0</v>
      </c>
      <c r="V67" s="64">
        <v>10000.0</v>
      </c>
      <c r="W67" s="52" t="b">
        <v>0</v>
      </c>
      <c r="X67" s="53" t="b">
        <v>0</v>
      </c>
      <c r="Y67" s="49">
        <v>0.0</v>
      </c>
      <c r="Z67" s="1"/>
    </row>
    <row r="68">
      <c r="A68" s="48" t="s">
        <v>74</v>
      </c>
      <c r="B68" s="49">
        <v>0.0</v>
      </c>
      <c r="C68" s="65" t="str">
        <f t="shared" si="19"/>
        <v>$0</v>
      </c>
      <c r="D68" s="65">
        <v>10000.0</v>
      </c>
      <c r="E68" s="52" t="b">
        <v>0</v>
      </c>
      <c r="F68" s="53" t="b">
        <v>0</v>
      </c>
      <c r="G68" s="49">
        <v>0.0</v>
      </c>
      <c r="H68" s="54"/>
      <c r="I68" s="63"/>
      <c r="J68" s="48" t="s">
        <v>74</v>
      </c>
      <c r="K68" s="49">
        <v>0.0</v>
      </c>
      <c r="L68" s="65" t="str">
        <f t="shared" si="20"/>
        <v>$0</v>
      </c>
      <c r="M68" s="65">
        <v>10000.0</v>
      </c>
      <c r="N68" s="52" t="b">
        <v>0</v>
      </c>
      <c r="O68" s="53" t="b">
        <v>0</v>
      </c>
      <c r="P68" s="49">
        <v>0.0</v>
      </c>
      <c r="Q68" s="25"/>
      <c r="R68" s="25"/>
      <c r="S68" s="48" t="s">
        <v>74</v>
      </c>
      <c r="T68" s="49">
        <v>0.0</v>
      </c>
      <c r="U68" s="65" t="str">
        <f t="shared" si="21"/>
        <v>$0</v>
      </c>
      <c r="V68" s="65">
        <v>10000.0</v>
      </c>
      <c r="W68" s="52" t="b">
        <v>0</v>
      </c>
      <c r="X68" s="53" t="b">
        <v>0</v>
      </c>
      <c r="Y68" s="49">
        <v>0.0</v>
      </c>
      <c r="Z68" s="1"/>
    </row>
    <row r="69">
      <c r="A69" s="68" t="s">
        <v>74</v>
      </c>
      <c r="B69" s="49">
        <v>0.0</v>
      </c>
      <c r="C69" s="50" t="str">
        <f>IF(AND(F69=E69,E69=F69),"$0","$7.200")</f>
        <v>$0</v>
      </c>
      <c r="D69" s="51">
        <v>7200.0</v>
      </c>
      <c r="E69" s="52" t="b">
        <v>0</v>
      </c>
      <c r="F69" s="53" t="b">
        <v>0</v>
      </c>
      <c r="G69" s="49">
        <v>0.0</v>
      </c>
      <c r="H69" s="54"/>
      <c r="I69" s="63"/>
      <c r="J69" s="68" t="s">
        <v>74</v>
      </c>
      <c r="K69" s="49">
        <v>0.0</v>
      </c>
      <c r="L69" s="50" t="str">
        <f>IF(AND(O69=N69,N69=O69),"$0","$7.200")</f>
        <v>$7.200</v>
      </c>
      <c r="M69" s="51">
        <v>7200.0</v>
      </c>
      <c r="N69" s="52" t="b">
        <v>0</v>
      </c>
      <c r="O69" s="53" t="b">
        <v>1</v>
      </c>
      <c r="P69" s="49">
        <v>0.0</v>
      </c>
      <c r="Q69" s="25"/>
      <c r="R69" s="25"/>
      <c r="S69" s="68" t="s">
        <v>74</v>
      </c>
      <c r="T69" s="49">
        <v>0.0</v>
      </c>
      <c r="U69" s="50" t="str">
        <f>IF(AND(X69=W69,W69=X69),"$0","$7.200")</f>
        <v>$0</v>
      </c>
      <c r="V69" s="51">
        <v>7200.0</v>
      </c>
      <c r="W69" s="52" t="b">
        <v>0</v>
      </c>
      <c r="X69" s="53" t="b">
        <v>0</v>
      </c>
      <c r="Y69" s="49">
        <v>0.0</v>
      </c>
      <c r="Z69" s="1"/>
    </row>
    <row r="70">
      <c r="A70" s="68" t="s">
        <v>75</v>
      </c>
      <c r="B70" s="49">
        <v>0.0</v>
      </c>
      <c r="C70" s="50" t="str">
        <f>IF(AND(F70=E70,E70=F70),"$0","$9.000")</f>
        <v>$9.000</v>
      </c>
      <c r="D70" s="66">
        <v>9000.0</v>
      </c>
      <c r="E70" s="52" t="b">
        <v>0</v>
      </c>
      <c r="F70" s="53" t="b">
        <v>1</v>
      </c>
      <c r="G70" s="49">
        <v>0.0</v>
      </c>
      <c r="H70" s="54"/>
      <c r="I70" s="63"/>
      <c r="J70" s="68" t="s">
        <v>75</v>
      </c>
      <c r="K70" s="49">
        <v>0.0</v>
      </c>
      <c r="L70" s="50" t="str">
        <f>IF(AND(O70=N70,N70=O70),"$0","$9.000")</f>
        <v>$9.000</v>
      </c>
      <c r="M70" s="66">
        <v>9000.0</v>
      </c>
      <c r="N70" s="52" t="b">
        <v>0</v>
      </c>
      <c r="O70" s="53" t="b">
        <v>1</v>
      </c>
      <c r="P70" s="49">
        <v>0.0</v>
      </c>
      <c r="Q70" s="25"/>
      <c r="R70" s="25"/>
      <c r="S70" s="68" t="s">
        <v>75</v>
      </c>
      <c r="T70" s="49">
        <v>0.0</v>
      </c>
      <c r="U70" s="50" t="str">
        <f>IF(AND(X70=W70,W70=X70),"$0","$9.000")</f>
        <v>$0</v>
      </c>
      <c r="V70" s="66">
        <v>9000.0</v>
      </c>
      <c r="W70" s="52" t="b">
        <v>0</v>
      </c>
      <c r="X70" s="53" t="b">
        <v>0</v>
      </c>
      <c r="Y70" s="49">
        <v>0.0</v>
      </c>
      <c r="Z70" s="1"/>
    </row>
    <row r="71">
      <c r="A71" s="68" t="s">
        <v>76</v>
      </c>
      <c r="B71" s="49">
        <v>0.0</v>
      </c>
      <c r="C71" s="64" t="str">
        <f>IF(AND(F71=E71,E71=F71),"$0","$19.200")</f>
        <v>$0</v>
      </c>
      <c r="D71" s="51">
        <v>19200.0</v>
      </c>
      <c r="E71" s="52" t="b">
        <v>0</v>
      </c>
      <c r="F71" s="53" t="b">
        <v>0</v>
      </c>
      <c r="G71" s="49">
        <v>0.0</v>
      </c>
      <c r="H71" s="54"/>
      <c r="I71" s="63"/>
      <c r="J71" s="68" t="s">
        <v>76</v>
      </c>
      <c r="K71" s="49">
        <v>6200.0</v>
      </c>
      <c r="L71" s="64" t="str">
        <f>IF(AND(O71=N71,N71=O71),"$0","$19.200")</f>
        <v>$0</v>
      </c>
      <c r="M71" s="51">
        <v>19200.0</v>
      </c>
      <c r="N71" s="52" t="b">
        <v>0</v>
      </c>
      <c r="O71" s="53" t="b">
        <v>0</v>
      </c>
      <c r="P71" s="49">
        <v>13000.0</v>
      </c>
      <c r="Q71" s="25"/>
      <c r="R71" s="25"/>
      <c r="S71" s="68" t="s">
        <v>76</v>
      </c>
      <c r="T71" s="49">
        <v>0.0</v>
      </c>
      <c r="U71" s="64" t="str">
        <f>IF(AND(X71=W71,W71=X71),"$0","$19.200")</f>
        <v>$0</v>
      </c>
      <c r="V71" s="51">
        <v>19200.0</v>
      </c>
      <c r="W71" s="52" t="b">
        <v>0</v>
      </c>
      <c r="X71" s="53" t="b">
        <v>0</v>
      </c>
      <c r="Y71" s="49">
        <v>0.0</v>
      </c>
      <c r="Z71" s="1"/>
    </row>
    <row r="72">
      <c r="A72" s="68" t="s">
        <v>77</v>
      </c>
      <c r="B72" s="49">
        <v>0.0</v>
      </c>
      <c r="C72" s="50" t="str">
        <f>IF(AND(F72=E72,E72=F72),"$0","$24.000")</f>
        <v>$0</v>
      </c>
      <c r="D72" s="65">
        <v>24000.0</v>
      </c>
      <c r="E72" s="52" t="b">
        <v>0</v>
      </c>
      <c r="F72" s="53" t="b">
        <v>0</v>
      </c>
      <c r="G72" s="49">
        <v>0.0</v>
      </c>
      <c r="H72" s="54"/>
      <c r="I72" s="63"/>
      <c r="J72" s="68" t="s">
        <v>77</v>
      </c>
      <c r="K72" s="49">
        <v>10000.0</v>
      </c>
      <c r="L72" s="50" t="str">
        <f>IF(AND(O72=N72,N72=O72),"$0","$24.000")</f>
        <v>$0</v>
      </c>
      <c r="M72" s="65">
        <v>24000.0</v>
      </c>
      <c r="N72" s="52" t="b">
        <v>0</v>
      </c>
      <c r="O72" s="53" t="b">
        <v>0</v>
      </c>
      <c r="P72" s="49">
        <v>0.0</v>
      </c>
      <c r="Q72" s="25"/>
      <c r="R72" s="25"/>
      <c r="S72" s="68" t="s">
        <v>77</v>
      </c>
      <c r="T72" s="49">
        <v>0.0</v>
      </c>
      <c r="U72" s="50" t="str">
        <f>IF(AND(X72=W72,W72=X72),"$0","$24.000")</f>
        <v>$0</v>
      </c>
      <c r="V72" s="65">
        <v>24000.0</v>
      </c>
      <c r="W72" s="52" t="b">
        <v>0</v>
      </c>
      <c r="X72" s="53" t="b">
        <v>0</v>
      </c>
      <c r="Y72" s="49">
        <v>0.0</v>
      </c>
      <c r="Z72" s="1"/>
    </row>
    <row r="73" ht="18.75" customHeight="1">
      <c r="A73" s="68" t="s">
        <v>78</v>
      </c>
      <c r="B73" s="49">
        <v>0.0</v>
      </c>
      <c r="C73" s="50" t="str">
        <f>IF(AND(F73=E73,E73=F73),"$0","$24.400")</f>
        <v>$0</v>
      </c>
      <c r="D73" s="64">
        <v>24400.0</v>
      </c>
      <c r="E73" s="52" t="b">
        <v>0</v>
      </c>
      <c r="F73" s="53" t="b">
        <v>0</v>
      </c>
      <c r="G73" s="49">
        <v>0.0</v>
      </c>
      <c r="H73" s="70"/>
      <c r="I73" s="71"/>
      <c r="J73" s="68" t="s">
        <v>78</v>
      </c>
      <c r="K73" s="49">
        <v>0.0</v>
      </c>
      <c r="L73" s="50" t="str">
        <f>IF(AND(O73=N73,N73=O73),"$0","$24.400")</f>
        <v>$0</v>
      </c>
      <c r="M73" s="64">
        <v>24400.0</v>
      </c>
      <c r="N73" s="52" t="b">
        <v>0</v>
      </c>
      <c r="O73" s="53" t="b">
        <v>0</v>
      </c>
      <c r="P73" s="49">
        <v>0.0</v>
      </c>
      <c r="Q73" s="25"/>
      <c r="R73" s="25"/>
      <c r="S73" s="68" t="s">
        <v>78</v>
      </c>
      <c r="T73" s="49">
        <v>0.0</v>
      </c>
      <c r="U73" s="50" t="str">
        <f>IF(AND(X73=W73,W73=X73),"$0","$24.400")</f>
        <v>$0</v>
      </c>
      <c r="V73" s="64">
        <v>24400.0</v>
      </c>
      <c r="W73" s="52" t="b">
        <v>0</v>
      </c>
      <c r="X73" s="53" t="b">
        <v>0</v>
      </c>
      <c r="Y73" s="49">
        <v>0.0</v>
      </c>
      <c r="Z73" s="72"/>
    </row>
    <row r="74">
      <c r="A74" s="68" t="s">
        <v>79</v>
      </c>
      <c r="B74" s="49">
        <v>0.0</v>
      </c>
      <c r="C74" s="50" t="str">
        <f>IF(AND(F74=E74,E74=F74),"$0","$15.300")</f>
        <v>$0</v>
      </c>
      <c r="D74" s="65">
        <v>15300.0</v>
      </c>
      <c r="E74" s="52" t="b">
        <v>0</v>
      </c>
      <c r="F74" s="53" t="b">
        <v>0</v>
      </c>
      <c r="G74" s="49">
        <v>0.0</v>
      </c>
      <c r="H74" s="73"/>
      <c r="I74" s="63"/>
      <c r="J74" s="68" t="s">
        <v>79</v>
      </c>
      <c r="K74" s="49">
        <v>0.0</v>
      </c>
      <c r="L74" s="50" t="str">
        <f>IF(AND(O74=N74,N74=O74),"$0","$15.300")</f>
        <v>$15.300</v>
      </c>
      <c r="M74" s="65">
        <v>15300.0</v>
      </c>
      <c r="N74" s="52" t="b">
        <v>1</v>
      </c>
      <c r="O74" s="53" t="b">
        <v>0</v>
      </c>
      <c r="P74" s="49">
        <v>0.0</v>
      </c>
      <c r="Q74" s="25"/>
      <c r="R74" s="25"/>
      <c r="S74" s="68" t="s">
        <v>79</v>
      </c>
      <c r="T74" s="49">
        <v>0.0</v>
      </c>
      <c r="U74" s="50" t="str">
        <f>IF(AND(X74=W74,W74=X74),"$0","$15.300")</f>
        <v>$0</v>
      </c>
      <c r="V74" s="65">
        <v>15300.0</v>
      </c>
      <c r="W74" s="52" t="b">
        <v>0</v>
      </c>
      <c r="X74" s="53" t="b">
        <v>0</v>
      </c>
      <c r="Y74" s="49">
        <v>0.0</v>
      </c>
      <c r="Z74" s="1"/>
    </row>
    <row r="75">
      <c r="A75" s="68" t="s">
        <v>80</v>
      </c>
      <c r="B75" s="49">
        <v>0.0</v>
      </c>
      <c r="C75" s="50" t="str">
        <f>IF(AND(F75=E75,E75=F75),"$0","$25.300")</f>
        <v>$0</v>
      </c>
      <c r="D75" s="64">
        <v>25300.0</v>
      </c>
      <c r="E75" s="52" t="b">
        <v>0</v>
      </c>
      <c r="F75" s="53" t="b">
        <v>0</v>
      </c>
      <c r="G75" s="49">
        <v>0.0</v>
      </c>
      <c r="H75" s="74"/>
      <c r="I75" s="32"/>
      <c r="J75" s="68" t="s">
        <v>80</v>
      </c>
      <c r="K75" s="49">
        <v>0.0</v>
      </c>
      <c r="L75" s="50" t="str">
        <f>IF(AND(O75=N75,N75=O75),"$0","$25.300")</f>
        <v>$0</v>
      </c>
      <c r="M75" s="64">
        <v>25300.0</v>
      </c>
      <c r="N75" s="52" t="b">
        <v>0</v>
      </c>
      <c r="O75" s="53" t="b">
        <v>0</v>
      </c>
      <c r="P75" s="49">
        <v>0.0</v>
      </c>
      <c r="Q75" s="25"/>
      <c r="R75" s="25"/>
      <c r="S75" s="68" t="s">
        <v>80</v>
      </c>
      <c r="T75" s="49">
        <v>0.0</v>
      </c>
      <c r="U75" s="50" t="str">
        <f>IF(AND(X75=W75,W75=X75),"$0","$25.300")</f>
        <v>$0</v>
      </c>
      <c r="V75" s="64">
        <v>25300.0</v>
      </c>
      <c r="W75" s="52" t="b">
        <v>0</v>
      </c>
      <c r="X75" s="53" t="b">
        <v>0</v>
      </c>
      <c r="Y75" s="49">
        <v>0.0</v>
      </c>
      <c r="Z75" s="1"/>
    </row>
    <row r="76">
      <c r="A76" s="68" t="s">
        <v>81</v>
      </c>
      <c r="B76" s="49">
        <v>2500.0</v>
      </c>
      <c r="C76" s="65" t="str">
        <f>IF(AND(F76=E76,E76=F76),"$0","$4.000")</f>
        <v>$0</v>
      </c>
      <c r="D76" s="66">
        <v>4500.0</v>
      </c>
      <c r="E76" s="52" t="b">
        <v>0</v>
      </c>
      <c r="F76" s="53" t="b">
        <v>0</v>
      </c>
      <c r="G76" s="49">
        <v>0.0</v>
      </c>
      <c r="H76" s="17"/>
      <c r="I76" s="63"/>
      <c r="J76" s="68" t="s">
        <v>81</v>
      </c>
      <c r="K76" s="49">
        <v>0.0</v>
      </c>
      <c r="L76" s="65" t="str">
        <f>IF(AND(O76=N76,N76=O76),"$0","$4.000")</f>
        <v>$0</v>
      </c>
      <c r="M76" s="66">
        <v>4500.0</v>
      </c>
      <c r="N76" s="52" t="b">
        <v>0</v>
      </c>
      <c r="O76" s="53" t="b">
        <v>0</v>
      </c>
      <c r="P76" s="49">
        <v>0.0</v>
      </c>
      <c r="Q76" s="25"/>
      <c r="R76" s="25"/>
      <c r="S76" s="68" t="s">
        <v>81</v>
      </c>
      <c r="T76" s="49">
        <v>0.0</v>
      </c>
      <c r="U76" s="65" t="str">
        <f>IF(AND(X76=W76,W76=X76),"$0","$4.000")</f>
        <v>$0</v>
      </c>
      <c r="V76" s="66">
        <v>4500.0</v>
      </c>
      <c r="W76" s="52" t="b">
        <v>0</v>
      </c>
      <c r="X76" s="53" t="b">
        <v>0</v>
      </c>
      <c r="Y76" s="49">
        <v>0.0</v>
      </c>
      <c r="Z76" s="1"/>
    </row>
    <row r="77">
      <c r="A77" s="48" t="s">
        <v>82</v>
      </c>
      <c r="B77" s="49">
        <v>0.0</v>
      </c>
      <c r="C77" s="50" t="str">
        <f>IF(AND(F77=E77,E77=F77),"$0","$21.400")</f>
        <v>$21.400</v>
      </c>
      <c r="D77" s="51">
        <v>21400.0</v>
      </c>
      <c r="E77" s="52" t="b">
        <v>1</v>
      </c>
      <c r="F77" s="53" t="b">
        <v>0</v>
      </c>
      <c r="G77" s="49">
        <v>0.0</v>
      </c>
      <c r="H77" s="17"/>
      <c r="I77" s="63"/>
      <c r="J77" s="48" t="s">
        <v>82</v>
      </c>
      <c r="K77" s="49">
        <v>0.0</v>
      </c>
      <c r="L77" s="50" t="str">
        <f>IF(AND(O77=N77,N77=O77),"$0","$21.400")</f>
        <v>$0</v>
      </c>
      <c r="M77" s="51">
        <v>21400.0</v>
      </c>
      <c r="N77" s="52" t="b">
        <v>0</v>
      </c>
      <c r="O77" s="53" t="b">
        <v>0</v>
      </c>
      <c r="P77" s="49">
        <v>0.0</v>
      </c>
      <c r="Q77" s="25"/>
      <c r="R77" s="25"/>
      <c r="S77" s="48" t="s">
        <v>82</v>
      </c>
      <c r="T77" s="49">
        <v>0.0</v>
      </c>
      <c r="U77" s="50" t="str">
        <f>IF(AND(X77=W77,W77=X77),"$0","$21.400")</f>
        <v>$0</v>
      </c>
      <c r="V77" s="51">
        <v>21400.0</v>
      </c>
      <c r="W77" s="52" t="b">
        <v>0</v>
      </c>
      <c r="X77" s="53" t="b">
        <v>0</v>
      </c>
      <c r="Y77" s="49">
        <v>0.0</v>
      </c>
      <c r="Z77" s="1"/>
    </row>
    <row r="78">
      <c r="A78" s="48" t="s">
        <v>83</v>
      </c>
      <c r="B78" s="49">
        <v>0.0</v>
      </c>
      <c r="C78" s="50" t="str">
        <f>IF(AND(F78=E78,E78=F78),"$0","$37.400")</f>
        <v>$0</v>
      </c>
      <c r="D78" s="66">
        <v>37400.0</v>
      </c>
      <c r="E78" s="52" t="b">
        <v>0</v>
      </c>
      <c r="F78" s="53" t="b">
        <v>0</v>
      </c>
      <c r="G78" s="49">
        <v>0.0</v>
      </c>
      <c r="H78" s="17"/>
      <c r="I78" s="63"/>
      <c r="J78" s="48" t="s">
        <v>83</v>
      </c>
      <c r="K78" s="49">
        <v>0.0</v>
      </c>
      <c r="L78" s="50" t="str">
        <f>IF(AND(O78=N78,N78=O78),"$0","$37.400")</f>
        <v>$0</v>
      </c>
      <c r="M78" s="66">
        <v>37400.0</v>
      </c>
      <c r="N78" s="52" t="b">
        <v>0</v>
      </c>
      <c r="O78" s="53" t="b">
        <v>0</v>
      </c>
      <c r="P78" s="49">
        <v>0.0</v>
      </c>
      <c r="Q78" s="25"/>
      <c r="R78" s="25"/>
      <c r="S78" s="48" t="s">
        <v>83</v>
      </c>
      <c r="T78" s="49">
        <v>0.0</v>
      </c>
      <c r="U78" s="50" t="str">
        <f>IF(AND(X78=W78,W78=X78),"$0","$37.400")</f>
        <v>$0</v>
      </c>
      <c r="V78" s="66">
        <v>37400.0</v>
      </c>
      <c r="W78" s="52" t="b">
        <v>0</v>
      </c>
      <c r="X78" s="53" t="b">
        <v>0</v>
      </c>
      <c r="Y78" s="49">
        <v>0.0</v>
      </c>
      <c r="Z78" s="1"/>
    </row>
    <row r="79">
      <c r="A79" s="48" t="s">
        <v>84</v>
      </c>
      <c r="B79" s="49">
        <v>0.0</v>
      </c>
      <c r="C79" s="50" t="str">
        <f>IF(AND(F79=E79,E79=F79),"$0","$18.500")</f>
        <v>$18.500</v>
      </c>
      <c r="D79" s="66">
        <v>18500.0</v>
      </c>
      <c r="E79" s="52" t="b">
        <v>1</v>
      </c>
      <c r="F79" s="53" t="b">
        <v>0</v>
      </c>
      <c r="G79" s="49">
        <v>0.0</v>
      </c>
      <c r="H79" s="17"/>
      <c r="I79" s="63"/>
      <c r="J79" s="48" t="s">
        <v>84</v>
      </c>
      <c r="K79" s="49">
        <v>0.0</v>
      </c>
      <c r="L79" s="50" t="str">
        <f>IF(AND(O79=N79,N79=O79),"$0","$18.500")</f>
        <v>$18.500</v>
      </c>
      <c r="M79" s="66">
        <v>18500.0</v>
      </c>
      <c r="N79" s="52" t="b">
        <v>0</v>
      </c>
      <c r="O79" s="53" t="b">
        <v>1</v>
      </c>
      <c r="P79" s="49">
        <v>0.0</v>
      </c>
      <c r="Q79" s="25"/>
      <c r="R79" s="25"/>
      <c r="S79" s="48" t="s">
        <v>84</v>
      </c>
      <c r="T79" s="49">
        <v>0.0</v>
      </c>
      <c r="U79" s="50" t="str">
        <f>IF(AND(X79=W79,W79=X79),"$0","$18.500")</f>
        <v>$0</v>
      </c>
      <c r="V79" s="66">
        <v>18500.0</v>
      </c>
      <c r="W79" s="52" t="b">
        <v>0</v>
      </c>
      <c r="X79" s="53" t="b">
        <v>0</v>
      </c>
      <c r="Y79" s="49">
        <v>0.0</v>
      </c>
      <c r="Z79" s="1"/>
    </row>
    <row r="80">
      <c r="A80" s="48" t="s">
        <v>85</v>
      </c>
      <c r="B80" s="49">
        <v>0.0</v>
      </c>
      <c r="C80" s="50" t="str">
        <f>IF(AND(F80=E80,E80=F80),"$0","$16.500")</f>
        <v>$16.500</v>
      </c>
      <c r="D80" s="51">
        <v>16500.0</v>
      </c>
      <c r="E80" s="52" t="b">
        <v>0</v>
      </c>
      <c r="F80" s="53" t="b">
        <v>1</v>
      </c>
      <c r="G80" s="49">
        <v>0.0</v>
      </c>
      <c r="H80" s="17"/>
      <c r="I80" s="63"/>
      <c r="J80" s="48" t="s">
        <v>85</v>
      </c>
      <c r="K80" s="49">
        <v>0.0</v>
      </c>
      <c r="L80" s="50" t="str">
        <f>IF(AND(O80=N80,N80=O80),"$0","$16.500")</f>
        <v>$16.500</v>
      </c>
      <c r="M80" s="51">
        <v>16500.0</v>
      </c>
      <c r="N80" s="52" t="b">
        <v>0</v>
      </c>
      <c r="O80" s="53" t="b">
        <v>1</v>
      </c>
      <c r="P80" s="49">
        <v>0.0</v>
      </c>
      <c r="Q80" s="25"/>
      <c r="R80" s="25"/>
      <c r="S80" s="48" t="s">
        <v>85</v>
      </c>
      <c r="T80" s="49">
        <v>0.0</v>
      </c>
      <c r="U80" s="50" t="str">
        <f>IF(AND(X80=W80,W80=X80),"$0","$16.500")</f>
        <v>$0</v>
      </c>
      <c r="V80" s="51">
        <v>16500.0</v>
      </c>
      <c r="W80" s="52" t="b">
        <v>0</v>
      </c>
      <c r="X80" s="53" t="b">
        <v>0</v>
      </c>
      <c r="Y80" s="49">
        <v>0.0</v>
      </c>
      <c r="Z80" s="1"/>
    </row>
    <row r="81">
      <c r="A81" s="48" t="s">
        <v>86</v>
      </c>
      <c r="B81" s="49">
        <v>0.0</v>
      </c>
      <c r="C81" s="64" t="str">
        <f>IF(AND(F81=E81,E81=F81),"$0","$53.000")</f>
        <v>$0</v>
      </c>
      <c r="D81" s="64">
        <v>53000.0</v>
      </c>
      <c r="E81" s="52" t="b">
        <v>0</v>
      </c>
      <c r="F81" s="53" t="b">
        <v>0</v>
      </c>
      <c r="G81" s="49">
        <v>0.0</v>
      </c>
      <c r="H81" s="17"/>
      <c r="I81" s="63"/>
      <c r="J81" s="48" t="s">
        <v>86</v>
      </c>
      <c r="K81" s="49">
        <v>0.0</v>
      </c>
      <c r="L81" s="64" t="str">
        <f>IF(AND(O81=N81,N81=O81),"$0","$53.000")</f>
        <v>$53.000</v>
      </c>
      <c r="M81" s="51">
        <v>21400.0</v>
      </c>
      <c r="N81" s="52" t="b">
        <v>0</v>
      </c>
      <c r="O81" s="53" t="b">
        <v>1</v>
      </c>
      <c r="P81" s="49">
        <v>0.0</v>
      </c>
      <c r="Q81" s="25"/>
      <c r="R81" s="25"/>
      <c r="S81" s="48" t="s">
        <v>86</v>
      </c>
      <c r="T81" s="49">
        <v>0.0</v>
      </c>
      <c r="U81" s="64" t="str">
        <f>IF(AND(X81=W81,W81=X81),"$0","$53.000")</f>
        <v>$0</v>
      </c>
      <c r="V81" s="64">
        <v>53000.0</v>
      </c>
      <c r="W81" s="52" t="b">
        <v>0</v>
      </c>
      <c r="X81" s="53" t="b">
        <v>0</v>
      </c>
      <c r="Y81" s="49">
        <v>0.0</v>
      </c>
      <c r="Z81" s="1"/>
    </row>
    <row r="82" ht="15.0" customHeight="1">
      <c r="A82" s="48" t="s">
        <v>87</v>
      </c>
      <c r="B82" s="49">
        <v>0.0</v>
      </c>
      <c r="C82" s="64" t="str">
        <f>IF(AND(F82=E82,E82=F82),"$0","$15.900")</f>
        <v>$15.900</v>
      </c>
      <c r="D82" s="51">
        <v>15900.0</v>
      </c>
      <c r="E82" s="52" t="b">
        <v>1</v>
      </c>
      <c r="F82" s="53" t="b">
        <v>0</v>
      </c>
      <c r="G82" s="49">
        <v>0.0</v>
      </c>
      <c r="H82" s="74"/>
      <c r="I82" s="63"/>
      <c r="J82" s="48" t="s">
        <v>87</v>
      </c>
      <c r="K82" s="49">
        <v>0.0</v>
      </c>
      <c r="L82" s="64" t="str">
        <f>IF(AND(O82=N82,N82=O82),"$0","$15.900")</f>
        <v>$15.900</v>
      </c>
      <c r="M82" s="51">
        <v>15900.0</v>
      </c>
      <c r="N82" s="52" t="b">
        <v>0</v>
      </c>
      <c r="O82" s="53" t="b">
        <v>1</v>
      </c>
      <c r="P82" s="49">
        <v>0.0</v>
      </c>
      <c r="Q82" s="25"/>
      <c r="R82" s="25"/>
      <c r="S82" s="48" t="s">
        <v>87</v>
      </c>
      <c r="T82" s="49">
        <v>0.0</v>
      </c>
      <c r="U82" s="64" t="str">
        <f>IF(AND(X82=W82,W82=X82),"$0","$15.900")</f>
        <v>$0</v>
      </c>
      <c r="V82" s="51">
        <v>15900.0</v>
      </c>
      <c r="W82" s="52" t="b">
        <v>0</v>
      </c>
      <c r="X82" s="53" t="b">
        <v>0</v>
      </c>
      <c r="Y82" s="49">
        <v>0.0</v>
      </c>
      <c r="Z82" s="1"/>
    </row>
    <row r="83">
      <c r="A83" s="48" t="s">
        <v>88</v>
      </c>
      <c r="B83" s="49">
        <v>0.0</v>
      </c>
      <c r="C83" s="50" t="str">
        <f>IF(AND(F83=E83,E83=F83),"$0","$6.400")</f>
        <v>$6.400</v>
      </c>
      <c r="D83" s="65">
        <v>6400.0</v>
      </c>
      <c r="E83" s="52" t="b">
        <v>0</v>
      </c>
      <c r="F83" s="53" t="b">
        <v>1</v>
      </c>
      <c r="G83" s="49">
        <v>0.0</v>
      </c>
      <c r="H83" s="74"/>
      <c r="I83" s="63"/>
      <c r="J83" s="48" t="s">
        <v>88</v>
      </c>
      <c r="K83" s="49">
        <v>0.0</v>
      </c>
      <c r="L83" s="50" t="str">
        <f>IF(AND(O83=N83,N83=O83),"$0","$6.400")</f>
        <v>$6.400</v>
      </c>
      <c r="M83" s="65">
        <v>6400.0</v>
      </c>
      <c r="N83" s="52" t="b">
        <v>0</v>
      </c>
      <c r="O83" s="53" t="b">
        <v>1</v>
      </c>
      <c r="P83" s="49">
        <v>0.0</v>
      </c>
      <c r="Q83" s="25"/>
      <c r="R83" s="25"/>
      <c r="S83" s="48" t="s">
        <v>88</v>
      </c>
      <c r="T83" s="49">
        <v>0.0</v>
      </c>
      <c r="U83" s="50" t="str">
        <f>IF(AND(X83=W83,W83=X83),"$0","$6.400")</f>
        <v>$0</v>
      </c>
      <c r="V83" s="65">
        <v>6400.0</v>
      </c>
      <c r="W83" s="52" t="b">
        <v>0</v>
      </c>
      <c r="X83" s="53" t="b">
        <v>0</v>
      </c>
      <c r="Y83" s="49">
        <v>0.0</v>
      </c>
      <c r="Z83" s="1"/>
    </row>
    <row r="84">
      <c r="A84" s="48" t="s">
        <v>89</v>
      </c>
      <c r="B84" s="49">
        <v>0.0</v>
      </c>
      <c r="C84" s="65" t="str">
        <f>IF(AND(F84=E84,E84=F84),"$0","$12.000")</f>
        <v>$12.000</v>
      </c>
      <c r="D84" s="65">
        <v>12000.0</v>
      </c>
      <c r="E84" s="52" t="b">
        <v>1</v>
      </c>
      <c r="F84" s="53" t="b">
        <v>0</v>
      </c>
      <c r="G84" s="49">
        <v>0.0</v>
      </c>
      <c r="H84" s="74"/>
      <c r="I84" s="63"/>
      <c r="J84" s="48" t="s">
        <v>89</v>
      </c>
      <c r="K84" s="49">
        <v>0.0</v>
      </c>
      <c r="L84" s="65" t="str">
        <f>IF(AND(O84=N84,N84=O84),"$0","$12.000")</f>
        <v>$0</v>
      </c>
      <c r="M84" s="65">
        <v>12000.0</v>
      </c>
      <c r="N84" s="52" t="b">
        <v>0</v>
      </c>
      <c r="O84" s="53" t="b">
        <v>0</v>
      </c>
      <c r="P84" s="49">
        <v>0.0</v>
      </c>
      <c r="Q84" s="25"/>
      <c r="R84" s="25"/>
      <c r="S84" s="48" t="s">
        <v>89</v>
      </c>
      <c r="T84" s="49">
        <v>0.0</v>
      </c>
      <c r="U84" s="65" t="str">
        <f>IF(AND(X84=W84,W84=X84),"$0","$12.000")</f>
        <v>$0</v>
      </c>
      <c r="V84" s="65">
        <v>12000.0</v>
      </c>
      <c r="W84" s="52" t="b">
        <v>0</v>
      </c>
      <c r="X84" s="53" t="b">
        <v>0</v>
      </c>
      <c r="Y84" s="49">
        <v>0.0</v>
      </c>
      <c r="Z84" s="1"/>
    </row>
    <row r="85">
      <c r="A85" s="75" t="s">
        <v>90</v>
      </c>
      <c r="B85" s="49">
        <v>0.0</v>
      </c>
      <c r="C85" s="64" t="str">
        <f>IF(AND(F85=E85,E85=F85),"$0","$5.000")</f>
        <v>$5.000</v>
      </c>
      <c r="D85" s="64">
        <v>5000.0</v>
      </c>
      <c r="E85" s="52" t="b">
        <v>1</v>
      </c>
      <c r="F85" s="53" t="b">
        <v>0</v>
      </c>
      <c r="G85" s="49">
        <v>0.0</v>
      </c>
      <c r="H85" s="17"/>
      <c r="I85" s="63"/>
      <c r="J85" s="75" t="s">
        <v>90</v>
      </c>
      <c r="K85" s="49">
        <v>0.0</v>
      </c>
      <c r="L85" s="64" t="str">
        <f>IF(AND(O85=N85,N85=O85),"$0","$5.000")</f>
        <v>$0</v>
      </c>
      <c r="M85" s="64">
        <v>5000.0</v>
      </c>
      <c r="N85" s="52" t="b">
        <v>0</v>
      </c>
      <c r="O85" s="53" t="b">
        <v>0</v>
      </c>
      <c r="P85" s="49">
        <v>0.0</v>
      </c>
      <c r="Q85" s="25"/>
      <c r="R85" s="25"/>
      <c r="S85" s="75" t="s">
        <v>90</v>
      </c>
      <c r="T85" s="49">
        <v>0.0</v>
      </c>
      <c r="U85" s="64" t="str">
        <f>IF(AND(X85=W85,W85=X85),"$0","$5.000")</f>
        <v>$0</v>
      </c>
      <c r="V85" s="64">
        <v>5000.0</v>
      </c>
      <c r="W85" s="52" t="b">
        <v>0</v>
      </c>
      <c r="X85" s="53" t="b">
        <v>0</v>
      </c>
      <c r="Y85" s="49">
        <v>0.0</v>
      </c>
      <c r="Z85" s="1"/>
    </row>
    <row r="86">
      <c r="A86" s="75" t="s">
        <v>90</v>
      </c>
      <c r="B86" s="49">
        <v>0.0</v>
      </c>
      <c r="C86" s="64" t="str">
        <f>IF(AND(F86=E86,E86=F86),"$0","$6.700")</f>
        <v>$6.700</v>
      </c>
      <c r="D86" s="51">
        <v>6700.0</v>
      </c>
      <c r="E86" s="52" t="b">
        <v>1</v>
      </c>
      <c r="F86" s="53" t="b">
        <v>0</v>
      </c>
      <c r="G86" s="49">
        <v>0.0</v>
      </c>
      <c r="H86" s="17"/>
      <c r="I86" s="63"/>
      <c r="J86" s="75" t="s">
        <v>90</v>
      </c>
      <c r="K86" s="49">
        <v>0.0</v>
      </c>
      <c r="L86" s="64" t="str">
        <f>IF(AND(O86=N86,N86=O86),"$0","$6.700")</f>
        <v>$0</v>
      </c>
      <c r="M86" s="51">
        <v>6700.0</v>
      </c>
      <c r="N86" s="52" t="b">
        <v>0</v>
      </c>
      <c r="O86" s="53" t="b">
        <v>0</v>
      </c>
      <c r="P86" s="49">
        <v>0.0</v>
      </c>
      <c r="Q86" s="25"/>
      <c r="R86" s="25"/>
      <c r="S86" s="75" t="s">
        <v>90</v>
      </c>
      <c r="T86" s="49">
        <v>0.0</v>
      </c>
      <c r="U86" s="64" t="str">
        <f>IF(AND(X86=W86,W86=X86),"$0","$6.700")</f>
        <v>$0</v>
      </c>
      <c r="V86" s="51">
        <v>6700.0</v>
      </c>
      <c r="W86" s="52" t="b">
        <v>0</v>
      </c>
      <c r="X86" s="53" t="b">
        <v>0</v>
      </c>
      <c r="Y86" s="49">
        <v>0.0</v>
      </c>
      <c r="Z86" s="1"/>
    </row>
    <row r="87">
      <c r="A87" s="75" t="s">
        <v>90</v>
      </c>
      <c r="B87" s="49">
        <v>0.0</v>
      </c>
      <c r="C87" s="64" t="str">
        <f>IF(AND(F87=E87,E87=F87),"$0","$7.500")</f>
        <v>$7.500</v>
      </c>
      <c r="D87" s="51">
        <v>7500.0</v>
      </c>
      <c r="E87" s="52" t="b">
        <v>1</v>
      </c>
      <c r="F87" s="53" t="b">
        <v>0</v>
      </c>
      <c r="G87" s="49">
        <v>0.0</v>
      </c>
      <c r="H87" s="17"/>
      <c r="I87" s="63"/>
      <c r="J87" s="75" t="s">
        <v>90</v>
      </c>
      <c r="K87" s="49">
        <v>0.0</v>
      </c>
      <c r="L87" s="64" t="str">
        <f>IF(AND(O87=N87,N87=O87),"$0","$7.500")</f>
        <v>$0</v>
      </c>
      <c r="M87" s="51">
        <v>7500.0</v>
      </c>
      <c r="N87" s="52" t="b">
        <v>0</v>
      </c>
      <c r="O87" s="53" t="b">
        <v>0</v>
      </c>
      <c r="P87" s="49">
        <v>0.0</v>
      </c>
      <c r="Q87" s="25"/>
      <c r="R87" s="25"/>
      <c r="S87" s="75" t="s">
        <v>90</v>
      </c>
      <c r="T87" s="49">
        <v>0.0</v>
      </c>
      <c r="U87" s="64" t="str">
        <f>IF(AND(X87=W87,W87=X87),"$0","$7.500")</f>
        <v>$0</v>
      </c>
      <c r="V87" s="51">
        <v>7500.0</v>
      </c>
      <c r="W87" s="52" t="b">
        <v>0</v>
      </c>
      <c r="X87" s="53" t="b">
        <v>0</v>
      </c>
      <c r="Y87" s="49">
        <v>0.0</v>
      </c>
      <c r="Z87" s="1"/>
    </row>
    <row r="88">
      <c r="A88" s="48" t="s">
        <v>91</v>
      </c>
      <c r="B88" s="49">
        <v>0.0</v>
      </c>
      <c r="C88" s="50" t="str">
        <f>IF(AND(F88=E88,E88=F88),"$0","$42.700")</f>
        <v>$42.700</v>
      </c>
      <c r="D88" s="66">
        <v>47000.0</v>
      </c>
      <c r="E88" s="52" t="b">
        <v>1</v>
      </c>
      <c r="F88" s="53" t="b">
        <v>0</v>
      </c>
      <c r="G88" s="49">
        <v>0.0</v>
      </c>
      <c r="H88" s="57"/>
      <c r="I88" s="63"/>
      <c r="J88" s="48" t="s">
        <v>91</v>
      </c>
      <c r="K88" s="49">
        <v>0.0</v>
      </c>
      <c r="L88" s="50" t="str">
        <f>IF(AND(O88=N88,N88=O88),"$0","$42.700")</f>
        <v>$0</v>
      </c>
      <c r="M88" s="66">
        <v>47000.0</v>
      </c>
      <c r="N88" s="52" t="b">
        <v>0</v>
      </c>
      <c r="O88" s="53" t="b">
        <v>0</v>
      </c>
      <c r="P88" s="49">
        <v>0.0</v>
      </c>
      <c r="Q88" s="25"/>
      <c r="R88" s="25"/>
      <c r="S88" s="48" t="s">
        <v>91</v>
      </c>
      <c r="T88" s="49">
        <v>0.0</v>
      </c>
      <c r="U88" s="50" t="str">
        <f>IF(AND(X88=W88,W88=X88),"$0","$42.700")</f>
        <v>$0</v>
      </c>
      <c r="V88" s="66">
        <v>47000.0</v>
      </c>
      <c r="W88" s="52" t="b">
        <v>0</v>
      </c>
      <c r="X88" s="53" t="b">
        <v>0</v>
      </c>
      <c r="Y88" s="49">
        <v>0.0</v>
      </c>
      <c r="Z88" s="1"/>
    </row>
    <row r="89">
      <c r="A89" s="48" t="s">
        <v>92</v>
      </c>
      <c r="B89" s="49">
        <v>0.0</v>
      </c>
      <c r="C89" s="64" t="str">
        <f>IF(AND(F89=E89,E89=F89),"$0","$10.000")</f>
        <v>$10.000</v>
      </c>
      <c r="D89" s="64">
        <v>10000.0</v>
      </c>
      <c r="E89" s="52" t="b">
        <v>0</v>
      </c>
      <c r="F89" s="53" t="b">
        <v>1</v>
      </c>
      <c r="G89" s="49">
        <v>0.0</v>
      </c>
      <c r="H89" s="73"/>
      <c r="I89" s="63"/>
      <c r="J89" s="48" t="s">
        <v>92</v>
      </c>
      <c r="K89" s="49">
        <v>0.0</v>
      </c>
      <c r="L89" s="64" t="str">
        <f>IF(AND(O89=N89,N89=O89),"$0","$10.000")</f>
        <v>$0</v>
      </c>
      <c r="M89" s="64">
        <v>10000.0</v>
      </c>
      <c r="N89" s="52" t="b">
        <v>0</v>
      </c>
      <c r="O89" s="53" t="b">
        <v>0</v>
      </c>
      <c r="P89" s="49">
        <v>0.0</v>
      </c>
      <c r="Q89" s="25"/>
      <c r="R89" s="25"/>
      <c r="S89" s="48" t="s">
        <v>92</v>
      </c>
      <c r="T89" s="49">
        <v>0.0</v>
      </c>
      <c r="U89" s="64" t="str">
        <f>IF(AND(X89=W89,W89=X89),"$0","$10.000")</f>
        <v>$0</v>
      </c>
      <c r="V89" s="64">
        <v>10000.0</v>
      </c>
      <c r="W89" s="52" t="b">
        <v>0</v>
      </c>
      <c r="X89" s="53" t="b">
        <v>0</v>
      </c>
      <c r="Y89" s="49">
        <v>0.0</v>
      </c>
      <c r="Z89" s="1"/>
    </row>
    <row r="90">
      <c r="A90" s="48" t="s">
        <v>92</v>
      </c>
      <c r="B90" s="49">
        <v>0.0</v>
      </c>
      <c r="C90" s="64" t="str">
        <f>IF(AND(F90=E90,E90=F90),"$0","$8.000")</f>
        <v>$0</v>
      </c>
      <c r="D90" s="51">
        <v>8000.0</v>
      </c>
      <c r="E90" s="52" t="b">
        <v>0</v>
      </c>
      <c r="F90" s="53" t="b">
        <v>0</v>
      </c>
      <c r="G90" s="49">
        <v>0.0</v>
      </c>
      <c r="H90" s="76"/>
      <c r="I90" s="77"/>
      <c r="J90" s="48" t="s">
        <v>92</v>
      </c>
      <c r="K90" s="49">
        <v>0.0</v>
      </c>
      <c r="L90" s="64" t="str">
        <f>IF(AND(O90=N90,N90=O90),"$0","$8.000")</f>
        <v>$8.000</v>
      </c>
      <c r="M90" s="51">
        <v>8000.0</v>
      </c>
      <c r="N90" s="52" t="b">
        <v>1</v>
      </c>
      <c r="O90" s="53" t="b">
        <v>0</v>
      </c>
      <c r="P90" s="49">
        <v>0.0</v>
      </c>
      <c r="Q90" s="1"/>
      <c r="R90" s="25"/>
      <c r="S90" s="48" t="s">
        <v>92</v>
      </c>
      <c r="T90" s="49">
        <v>0.0</v>
      </c>
      <c r="U90" s="64" t="str">
        <f>IF(AND(X90=W90,W90=X90),"$0","$8.000")</f>
        <v>$0</v>
      </c>
      <c r="V90" s="51">
        <v>8000.0</v>
      </c>
      <c r="W90" s="52" t="b">
        <v>0</v>
      </c>
      <c r="X90" s="53" t="b">
        <v>0</v>
      </c>
      <c r="Y90" s="49">
        <v>0.0</v>
      </c>
      <c r="Z90" s="72"/>
    </row>
    <row r="91">
      <c r="A91" s="48" t="s">
        <v>93</v>
      </c>
      <c r="B91" s="49">
        <v>0.0</v>
      </c>
      <c r="C91" s="65" t="str">
        <f>IF(AND(F91=E91,E91=F91),"$0","$3900")</f>
        <v>$0</v>
      </c>
      <c r="D91" s="65">
        <v>3900.0</v>
      </c>
      <c r="E91" s="52" t="b">
        <v>0</v>
      </c>
      <c r="F91" s="53" t="b">
        <v>0</v>
      </c>
      <c r="G91" s="49">
        <v>0.0</v>
      </c>
      <c r="H91" s="78"/>
      <c r="I91" s="79"/>
      <c r="J91" s="48" t="s">
        <v>93</v>
      </c>
      <c r="K91" s="49">
        <v>0.0</v>
      </c>
      <c r="L91" s="65" t="str">
        <f>IF(AND(O91=N91,N91=O91),"$0","$3900")</f>
        <v>$0</v>
      </c>
      <c r="M91" s="65">
        <v>3900.0</v>
      </c>
      <c r="N91" s="52" t="b">
        <v>0</v>
      </c>
      <c r="O91" s="53" t="b">
        <v>0</v>
      </c>
      <c r="P91" s="49">
        <v>0.0</v>
      </c>
      <c r="Q91" s="25"/>
      <c r="R91" s="25"/>
      <c r="S91" s="48" t="s">
        <v>93</v>
      </c>
      <c r="T91" s="49">
        <v>0.0</v>
      </c>
      <c r="U91" s="65" t="str">
        <f>IF(AND(X91=W91,W91=X91),"$0","$3900")</f>
        <v>$0</v>
      </c>
      <c r="V91" s="65">
        <v>3900.0</v>
      </c>
      <c r="W91" s="52" t="b">
        <v>0</v>
      </c>
      <c r="X91" s="53" t="b">
        <v>0</v>
      </c>
      <c r="Y91" s="49">
        <v>0.0</v>
      </c>
      <c r="Z91" s="72"/>
    </row>
    <row r="92">
      <c r="A92" s="58" t="s">
        <v>94</v>
      </c>
      <c r="B92" s="49">
        <v>0.0</v>
      </c>
      <c r="C92" s="65" t="str">
        <f>IF(AND(F92=E92,E92=F92),"$0","$21.400")</f>
        <v>$21.400</v>
      </c>
      <c r="D92" s="66">
        <v>21400.0</v>
      </c>
      <c r="E92" s="52" t="b">
        <v>0</v>
      </c>
      <c r="F92" s="53" t="b">
        <v>1</v>
      </c>
      <c r="G92" s="49">
        <v>0.0</v>
      </c>
      <c r="H92" s="73"/>
      <c r="I92" s="80"/>
      <c r="J92" s="58" t="s">
        <v>94</v>
      </c>
      <c r="K92" s="49">
        <v>0.0</v>
      </c>
      <c r="L92" s="65" t="str">
        <f>IF(AND(O92=N92,N92=O92),"$0","$21.400")</f>
        <v>$0</v>
      </c>
      <c r="M92" s="66">
        <v>21400.0</v>
      </c>
      <c r="N92" s="52" t="b">
        <v>0</v>
      </c>
      <c r="O92" s="53" t="b">
        <v>0</v>
      </c>
      <c r="P92" s="49">
        <v>0.0</v>
      </c>
      <c r="Q92" s="25"/>
      <c r="R92" s="25"/>
      <c r="S92" s="58" t="s">
        <v>94</v>
      </c>
      <c r="T92" s="49">
        <v>0.0</v>
      </c>
      <c r="U92" s="65" t="str">
        <f>IF(AND(X92=W92,W92=X92),"$0","$21.400")</f>
        <v>$0</v>
      </c>
      <c r="V92" s="66">
        <v>21400.0</v>
      </c>
      <c r="W92" s="52" t="b">
        <v>0</v>
      </c>
      <c r="X92" s="53" t="b">
        <v>0</v>
      </c>
      <c r="Y92" s="49">
        <v>0.0</v>
      </c>
      <c r="Z92" s="1"/>
    </row>
    <row r="93">
      <c r="A93" s="58" t="s">
        <v>94</v>
      </c>
      <c r="B93" s="49">
        <v>0.0</v>
      </c>
      <c r="C93" s="65" t="str">
        <f>IF(AND(F93=E93,E93=F93),"$0","$42.700")</f>
        <v>$42.700</v>
      </c>
      <c r="D93" s="66">
        <v>42700.0</v>
      </c>
      <c r="E93" s="52" t="b">
        <v>1</v>
      </c>
      <c r="F93" s="53" t="b">
        <v>0</v>
      </c>
      <c r="G93" s="49">
        <v>0.0</v>
      </c>
      <c r="H93" s="74"/>
      <c r="I93" s="81"/>
      <c r="J93" s="58" t="s">
        <v>94</v>
      </c>
      <c r="K93" s="49">
        <v>0.0</v>
      </c>
      <c r="L93" s="65" t="str">
        <f>IF(AND(O93=N93,N93=O93),"$0","$42.700")</f>
        <v>$42.700</v>
      </c>
      <c r="M93" s="66">
        <v>42700.0</v>
      </c>
      <c r="N93" s="52" t="b">
        <v>0</v>
      </c>
      <c r="O93" s="53" t="b">
        <v>1</v>
      </c>
      <c r="P93" s="49">
        <v>0.0</v>
      </c>
      <c r="Q93" s="1"/>
      <c r="R93" s="1"/>
      <c r="S93" s="58" t="s">
        <v>94</v>
      </c>
      <c r="T93" s="49">
        <v>0.0</v>
      </c>
      <c r="U93" s="65" t="str">
        <f>IF(AND(X93=W93,W93=X93),"$0","$42.700")</f>
        <v>$0</v>
      </c>
      <c r="V93" s="66">
        <v>42700.0</v>
      </c>
      <c r="W93" s="52" t="b">
        <v>0</v>
      </c>
      <c r="X93" s="53" t="b">
        <v>0</v>
      </c>
      <c r="Y93" s="49">
        <v>0.0</v>
      </c>
      <c r="Z93" s="1"/>
    </row>
    <row r="94">
      <c r="A94" s="82" t="s">
        <v>95</v>
      </c>
      <c r="B94" s="83">
        <f>SUM(D92,D89,D83,D80,B76,D70,D66,D61:D63,B51:B56,D45:D48,D41,B34,D35,D32,D27,B18,D16,D17,D21,)+26900</f>
        <v>379300</v>
      </c>
      <c r="C94" s="84"/>
      <c r="D94" s="84"/>
      <c r="E94" s="84"/>
      <c r="F94" s="85"/>
      <c r="G94" s="85"/>
      <c r="H94" s="74"/>
      <c r="I94" s="81"/>
      <c r="J94" s="82" t="s">
        <v>95</v>
      </c>
      <c r="K94" s="83"/>
      <c r="L94" s="84"/>
      <c r="M94" s="84"/>
      <c r="N94" s="84"/>
      <c r="O94" s="85"/>
      <c r="P94" s="85"/>
      <c r="Q94" s="1"/>
      <c r="R94" s="1"/>
      <c r="S94" s="82" t="s">
        <v>95</v>
      </c>
      <c r="T94" s="83"/>
      <c r="U94" s="84"/>
      <c r="V94" s="84"/>
      <c r="W94" s="84"/>
      <c r="X94" s="85"/>
      <c r="Y94" s="85"/>
      <c r="Z94" s="1"/>
    </row>
    <row r="95">
      <c r="A95" s="86" t="s">
        <v>96</v>
      </c>
      <c r="B95" s="84"/>
      <c r="C95" s="85"/>
      <c r="D95" s="85"/>
      <c r="E95" s="85"/>
      <c r="F95" s="85"/>
      <c r="H95" s="74"/>
      <c r="I95" s="1"/>
      <c r="J95" s="86" t="s">
        <v>96</v>
      </c>
      <c r="K95" s="84"/>
      <c r="L95" s="85"/>
      <c r="M95" s="85"/>
      <c r="N95" s="85"/>
      <c r="O95" s="85"/>
      <c r="Q95" s="1"/>
      <c r="R95" s="1"/>
      <c r="S95" s="86" t="s">
        <v>96</v>
      </c>
      <c r="T95" s="84"/>
      <c r="U95" s="85"/>
      <c r="V95" s="85"/>
      <c r="W95" s="85"/>
      <c r="X95" s="85"/>
      <c r="Z95" s="1"/>
    </row>
    <row r="96">
      <c r="A96" s="58" t="s">
        <v>97</v>
      </c>
      <c r="B96" s="49">
        <v>0.0</v>
      </c>
      <c r="C96" s="64" t="str">
        <f>IF(AND(F96=E96,E96=F96),"$0","$9.700")</f>
        <v>$0</v>
      </c>
      <c r="D96" s="51">
        <v>9700.0</v>
      </c>
      <c r="E96" s="52" t="b">
        <v>0</v>
      </c>
      <c r="F96" s="87" t="b">
        <v>0</v>
      </c>
      <c r="G96" s="49">
        <v>0.0</v>
      </c>
      <c r="H96" s="74"/>
      <c r="I96" s="1"/>
      <c r="J96" s="58" t="s">
        <v>97</v>
      </c>
      <c r="K96" s="49">
        <v>0.0</v>
      </c>
      <c r="L96" s="64" t="str">
        <f>IF(AND(O96=N96,N96=O96),"$0","$9.700")</f>
        <v>$9.700</v>
      </c>
      <c r="M96" s="51">
        <v>9700.0</v>
      </c>
      <c r="N96" s="52" t="b">
        <v>1</v>
      </c>
      <c r="O96" s="87" t="b">
        <v>0</v>
      </c>
      <c r="P96" s="49">
        <v>0.0</v>
      </c>
      <c r="Q96" s="1"/>
      <c r="R96" s="1"/>
      <c r="S96" s="58" t="s">
        <v>97</v>
      </c>
      <c r="T96" s="49">
        <v>0.0</v>
      </c>
      <c r="U96" s="64" t="str">
        <f>IF(AND(X96=W96,W96=X96),"$0","$9.700")</f>
        <v>$0</v>
      </c>
      <c r="V96" s="51">
        <v>9700.0</v>
      </c>
      <c r="W96" s="52" t="b">
        <v>0</v>
      </c>
      <c r="X96" s="87" t="b">
        <v>0</v>
      </c>
      <c r="Y96" s="49">
        <v>0.0</v>
      </c>
      <c r="Z96" s="1"/>
    </row>
    <row r="97">
      <c r="A97" s="58" t="s">
        <v>98</v>
      </c>
      <c r="B97" s="49">
        <v>0.0</v>
      </c>
      <c r="C97" s="64" t="str">
        <f>IF(AND(F97=E97,E97=F97),"$0","$42.700")</f>
        <v>$42.700</v>
      </c>
      <c r="D97" s="51">
        <v>42700.0</v>
      </c>
      <c r="E97" s="52" t="b">
        <v>1</v>
      </c>
      <c r="F97" s="87" t="b">
        <v>0</v>
      </c>
      <c r="G97" s="49">
        <v>0.0</v>
      </c>
      <c r="H97" s="74"/>
      <c r="I97" s="1"/>
      <c r="J97" s="58" t="s">
        <v>98</v>
      </c>
      <c r="K97" s="49">
        <v>0.0</v>
      </c>
      <c r="L97" s="64" t="str">
        <f>IF(AND(O97=N97,N97=O97),"$0","$42.700")</f>
        <v>$42.700</v>
      </c>
      <c r="M97" s="51">
        <v>42700.0</v>
      </c>
      <c r="N97" s="52" t="b">
        <v>1</v>
      </c>
      <c r="O97" s="87" t="b">
        <v>0</v>
      </c>
      <c r="P97" s="49">
        <v>0.0</v>
      </c>
      <c r="Q97" s="1"/>
      <c r="R97" s="1"/>
      <c r="S97" s="58" t="s">
        <v>98</v>
      </c>
      <c r="T97" s="49">
        <v>0.0</v>
      </c>
      <c r="U97" s="64" t="str">
        <f>IF(AND(X97=W97,W97=X97),"$0","$42.700")</f>
        <v>$0</v>
      </c>
      <c r="V97" s="51">
        <v>42700.0</v>
      </c>
      <c r="W97" s="52" t="b">
        <v>0</v>
      </c>
      <c r="X97" s="87" t="b">
        <v>0</v>
      </c>
      <c r="Y97" s="49">
        <v>0.0</v>
      </c>
      <c r="Z97" s="1"/>
    </row>
    <row r="98">
      <c r="A98" s="58" t="s">
        <v>99</v>
      </c>
      <c r="B98" s="49">
        <v>0.0</v>
      </c>
      <c r="C98" s="64" t="str">
        <f>IF(AND(F98=E98,E98=F98),"$0","$30,000")</f>
        <v>$30,000</v>
      </c>
      <c r="D98" s="51">
        <v>30000.0</v>
      </c>
      <c r="E98" s="52" t="b">
        <v>1</v>
      </c>
      <c r="F98" s="87" t="b">
        <v>0</v>
      </c>
      <c r="G98" s="49">
        <v>0.0</v>
      </c>
      <c r="H98" s="74"/>
      <c r="I98" s="1"/>
      <c r="J98" s="58" t="s">
        <v>99</v>
      </c>
      <c r="K98" s="49">
        <v>0.0</v>
      </c>
      <c r="L98" s="64" t="str">
        <f>IF(AND(O98=N98,N98=O98),"$0","$30,000")</f>
        <v>$30,000</v>
      </c>
      <c r="M98" s="51">
        <v>30000.0</v>
      </c>
      <c r="N98" s="52" t="b">
        <v>1</v>
      </c>
      <c r="O98" s="87" t="b">
        <v>0</v>
      </c>
      <c r="P98" s="49">
        <v>0.0</v>
      </c>
      <c r="Q98" s="1"/>
      <c r="R98" s="1"/>
      <c r="S98" s="58" t="s">
        <v>99</v>
      </c>
      <c r="T98" s="49">
        <v>0.0</v>
      </c>
      <c r="U98" s="64" t="str">
        <f>IF(AND(X98=W98,W98=X98),"$0","$30,000")</f>
        <v>$0</v>
      </c>
      <c r="V98" s="51">
        <v>30000.0</v>
      </c>
      <c r="W98" s="52" t="b">
        <v>0</v>
      </c>
      <c r="X98" s="87" t="b">
        <v>0</v>
      </c>
      <c r="Y98" s="49">
        <v>0.0</v>
      </c>
      <c r="Z98" s="1"/>
    </row>
    <row r="99">
      <c r="A99" s="58" t="s">
        <v>100</v>
      </c>
      <c r="B99" s="49">
        <v>0.0</v>
      </c>
      <c r="C99" s="64" t="str">
        <f>IF(AND(F99=E99,E99=F99),"$0","$85.400")</f>
        <v>$85.400</v>
      </c>
      <c r="D99" s="51">
        <v>85400.0</v>
      </c>
      <c r="E99" s="52" t="b">
        <v>1</v>
      </c>
      <c r="F99" s="87" t="b">
        <v>0</v>
      </c>
      <c r="G99" s="49">
        <v>0.0</v>
      </c>
      <c r="H99" s="74"/>
      <c r="I99" s="1"/>
      <c r="J99" s="58" t="s">
        <v>100</v>
      </c>
      <c r="K99" s="49">
        <v>0.0</v>
      </c>
      <c r="L99" s="64" t="str">
        <f>IF(AND(O99=N99,N99=O99),"$0","$85.400")</f>
        <v>$85.400</v>
      </c>
      <c r="M99" s="51">
        <v>85400.0</v>
      </c>
      <c r="N99" s="52" t="b">
        <v>1</v>
      </c>
      <c r="O99" s="87" t="b">
        <v>0</v>
      </c>
      <c r="P99" s="49">
        <v>0.0</v>
      </c>
      <c r="Q99" s="1"/>
      <c r="R99" s="1"/>
      <c r="S99" s="58" t="s">
        <v>100</v>
      </c>
      <c r="T99" s="49">
        <v>0.0</v>
      </c>
      <c r="U99" s="64" t="str">
        <f>IF(AND(X99=W99,W99=X99),"$0","$85.400")</f>
        <v>$0</v>
      </c>
      <c r="V99" s="51">
        <v>85400.0</v>
      </c>
      <c r="W99" s="52" t="b">
        <v>0</v>
      </c>
      <c r="X99" s="87" t="b">
        <v>0</v>
      </c>
      <c r="Y99" s="49">
        <v>0.0</v>
      </c>
      <c r="Z99" s="1"/>
    </row>
    <row r="100">
      <c r="A100" s="48" t="s">
        <v>101</v>
      </c>
      <c r="B100" s="49">
        <v>0.0</v>
      </c>
      <c r="C100" s="64" t="str">
        <f>IF(AND(F100=E100,E100=F100),"$0","$4.500")</f>
        <v>$4.500</v>
      </c>
      <c r="D100" s="51">
        <v>9000.0</v>
      </c>
      <c r="E100" s="52" t="b">
        <v>1</v>
      </c>
      <c r="F100" s="87" t="b">
        <v>0</v>
      </c>
      <c r="G100" s="49">
        <v>0.0</v>
      </c>
      <c r="H100" s="74"/>
      <c r="I100" s="1"/>
      <c r="J100" s="48" t="s">
        <v>101</v>
      </c>
      <c r="K100" s="49">
        <v>0.0</v>
      </c>
      <c r="L100" s="64" t="str">
        <f>IF(AND(O100=N100,N100=O100),"$0","$4.500")</f>
        <v>$4.500</v>
      </c>
      <c r="M100" s="51">
        <v>9000.0</v>
      </c>
      <c r="N100" s="52" t="b">
        <v>1</v>
      </c>
      <c r="O100" s="87" t="b">
        <v>0</v>
      </c>
      <c r="P100" s="49">
        <v>0.0</v>
      </c>
      <c r="Q100" s="1"/>
      <c r="R100" s="1"/>
      <c r="S100" s="48" t="s">
        <v>101</v>
      </c>
      <c r="T100" s="49">
        <v>0.0</v>
      </c>
      <c r="U100" s="64" t="str">
        <f>IF(AND(X100=W100,W100=X100),"$0","$4.500")</f>
        <v>$0</v>
      </c>
      <c r="V100" s="51">
        <v>9000.0</v>
      </c>
      <c r="W100" s="52" t="b">
        <v>0</v>
      </c>
      <c r="X100" s="87" t="b">
        <v>0</v>
      </c>
      <c r="Y100" s="49">
        <v>0.0</v>
      </c>
      <c r="Z100" s="1"/>
    </row>
    <row r="101">
      <c r="A101" s="58" t="s">
        <v>102</v>
      </c>
      <c r="B101" s="49">
        <v>0.0</v>
      </c>
      <c r="C101" s="64" t="str">
        <f>IF(AND(F101=E101,E101=F101),"$0","$47600")</f>
        <v>$0</v>
      </c>
      <c r="D101" s="51">
        <v>25000.0</v>
      </c>
      <c r="E101" s="52" t="b">
        <v>0</v>
      </c>
      <c r="F101" s="87" t="b">
        <v>0</v>
      </c>
      <c r="G101" s="49">
        <v>0.0</v>
      </c>
      <c r="H101" s="74"/>
      <c r="I101" s="1"/>
      <c r="J101" s="58" t="s">
        <v>102</v>
      </c>
      <c r="K101" s="49">
        <v>0.0</v>
      </c>
      <c r="L101" s="64" t="str">
        <f>IF(AND(O101=N101,N101=O101),"$0","$47600")</f>
        <v>$0</v>
      </c>
      <c r="M101" s="51">
        <v>25000.0</v>
      </c>
      <c r="N101" s="52" t="b">
        <v>0</v>
      </c>
      <c r="O101" s="87" t="b">
        <v>0</v>
      </c>
      <c r="P101" s="49">
        <v>0.0</v>
      </c>
      <c r="Q101" s="1"/>
      <c r="R101" s="1"/>
      <c r="S101" s="58" t="s">
        <v>102</v>
      </c>
      <c r="T101" s="49">
        <v>0.0</v>
      </c>
      <c r="U101" s="64" t="str">
        <f>IF(AND(X101=W101,W101=X101),"$0","$47600")</f>
        <v>$0</v>
      </c>
      <c r="V101" s="51">
        <v>25000.0</v>
      </c>
      <c r="W101" s="52" t="b">
        <v>0</v>
      </c>
      <c r="X101" s="87" t="b">
        <v>0</v>
      </c>
      <c r="Y101" s="49">
        <v>0.0</v>
      </c>
      <c r="Z101" s="1"/>
    </row>
    <row r="102">
      <c r="A102" s="48" t="s">
        <v>103</v>
      </c>
      <c r="B102" s="50">
        <v>0.0</v>
      </c>
      <c r="C102" s="50" t="str">
        <f>IF(AND(F102=E102,E102=F102),"$0","$28.000")</f>
        <v>$28.000</v>
      </c>
      <c r="D102" s="66">
        <v>28000.0</v>
      </c>
      <c r="E102" s="52" t="b">
        <v>1</v>
      </c>
      <c r="F102" s="87" t="b">
        <v>0</v>
      </c>
      <c r="G102" s="49">
        <v>0.0</v>
      </c>
      <c r="H102" s="74"/>
      <c r="I102" s="1"/>
      <c r="J102" s="48" t="s">
        <v>103</v>
      </c>
      <c r="K102" s="50">
        <v>0.0</v>
      </c>
      <c r="L102" s="50" t="str">
        <f>IF(AND(O102=N102,N102=O102),"$0","$28.000")</f>
        <v>$28.000</v>
      </c>
      <c r="M102" s="66">
        <v>28000.0</v>
      </c>
      <c r="N102" s="52" t="b">
        <v>1</v>
      </c>
      <c r="O102" s="87" t="b">
        <v>0</v>
      </c>
      <c r="P102" s="49">
        <v>0.0</v>
      </c>
      <c r="Q102" s="1"/>
      <c r="R102" s="1"/>
      <c r="S102" s="48" t="s">
        <v>103</v>
      </c>
      <c r="T102" s="50">
        <v>0.0</v>
      </c>
      <c r="U102" s="50" t="str">
        <f>IF(AND(X102=W102,W102=X102),"$0","$28.000")</f>
        <v>$0</v>
      </c>
      <c r="V102" s="66">
        <v>28000.0</v>
      </c>
      <c r="W102" s="52" t="b">
        <v>0</v>
      </c>
      <c r="X102" s="87" t="b">
        <v>0</v>
      </c>
      <c r="Y102" s="49">
        <v>0.0</v>
      </c>
      <c r="Z102" s="1"/>
    </row>
    <row r="103">
      <c r="A103" s="48" t="s">
        <v>104</v>
      </c>
      <c r="B103" s="50">
        <v>0.0</v>
      </c>
      <c r="C103" s="64" t="str">
        <f>IF(AND(F103=E103,E103=F103),"$0","$21.400")</f>
        <v>$21.400</v>
      </c>
      <c r="D103" s="51">
        <v>21400.0</v>
      </c>
      <c r="E103" s="52" t="b">
        <v>1</v>
      </c>
      <c r="F103" s="88" t="b">
        <v>0</v>
      </c>
      <c r="G103" s="49">
        <v>0.0</v>
      </c>
      <c r="H103" s="74"/>
      <c r="I103" s="1"/>
      <c r="J103" s="48" t="s">
        <v>104</v>
      </c>
      <c r="K103" s="50">
        <v>0.0</v>
      </c>
      <c r="L103" s="64" t="str">
        <f>IF(AND(O103=N103,N103=O103),"$0","$21.400")</f>
        <v>$0</v>
      </c>
      <c r="M103" s="51">
        <v>21400.0</v>
      </c>
      <c r="N103" s="52" t="b">
        <v>0</v>
      </c>
      <c r="O103" s="88" t="b">
        <v>0</v>
      </c>
      <c r="P103" s="49">
        <v>0.0</v>
      </c>
      <c r="Q103" s="1"/>
      <c r="R103" s="1"/>
      <c r="S103" s="48" t="s">
        <v>104</v>
      </c>
      <c r="T103" s="50">
        <v>0.0</v>
      </c>
      <c r="U103" s="64" t="str">
        <f>IF(AND(X103=W103,W103=X103),"$0","$21.400")</f>
        <v>$0</v>
      </c>
      <c r="V103" s="51">
        <v>21400.0</v>
      </c>
      <c r="W103" s="52" t="b">
        <v>0</v>
      </c>
      <c r="X103" s="88" t="b">
        <v>0</v>
      </c>
      <c r="Y103" s="49">
        <v>0.0</v>
      </c>
      <c r="Z103" s="1"/>
    </row>
    <row r="104">
      <c r="A104" s="48" t="s">
        <v>105</v>
      </c>
      <c r="B104" s="49">
        <v>0.0</v>
      </c>
      <c r="C104" s="64" t="str">
        <f>IF(AND(F104=E104,E104=F104),"$0","$12.800")</f>
        <v>$12.800</v>
      </c>
      <c r="D104" s="51">
        <v>12000.0</v>
      </c>
      <c r="E104" s="52" t="b">
        <v>1</v>
      </c>
      <c r="F104" s="88" t="b">
        <v>0</v>
      </c>
      <c r="G104" s="49">
        <v>0.0</v>
      </c>
      <c r="H104" s="74"/>
      <c r="I104" s="1"/>
      <c r="J104" s="48" t="s">
        <v>105</v>
      </c>
      <c r="K104" s="49">
        <v>0.0</v>
      </c>
      <c r="L104" s="64" t="str">
        <f>IF(AND(O104=N104,N104=O104),"$0","$12.800")</f>
        <v>$12.800</v>
      </c>
      <c r="M104" s="51">
        <v>12000.0</v>
      </c>
      <c r="N104" s="52" t="b">
        <v>1</v>
      </c>
      <c r="O104" s="88" t="b">
        <v>0</v>
      </c>
      <c r="P104" s="49">
        <v>0.0</v>
      </c>
      <c r="Q104" s="1"/>
      <c r="R104" s="1"/>
      <c r="S104" s="48" t="s">
        <v>105</v>
      </c>
      <c r="T104" s="49">
        <v>0.0</v>
      </c>
      <c r="U104" s="64" t="str">
        <f>IF(AND(X104=W104,W104=X104),"$0","$12.800")</f>
        <v>$0</v>
      </c>
      <c r="V104" s="51">
        <v>12000.0</v>
      </c>
      <c r="W104" s="52" t="b">
        <v>0</v>
      </c>
      <c r="X104" s="88" t="b">
        <v>0</v>
      </c>
      <c r="Y104" s="49">
        <v>0.0</v>
      </c>
      <c r="Z104" s="1"/>
    </row>
    <row r="105">
      <c r="A105" s="48" t="s">
        <v>105</v>
      </c>
      <c r="B105" s="50">
        <v>0.0</v>
      </c>
      <c r="C105" s="65" t="str">
        <f>IF(AND(F105=E105,E105=F105),"$0","$12.000")</f>
        <v>$0</v>
      </c>
      <c r="D105" s="66">
        <v>12000.0</v>
      </c>
      <c r="E105" s="52" t="b">
        <v>0</v>
      </c>
      <c r="F105" s="88" t="b">
        <v>0</v>
      </c>
      <c r="G105" s="49">
        <v>0.0</v>
      </c>
      <c r="H105" s="74"/>
      <c r="I105" s="1"/>
      <c r="J105" s="48" t="s">
        <v>105</v>
      </c>
      <c r="K105" s="50">
        <v>0.0</v>
      </c>
      <c r="L105" s="65" t="str">
        <f>IF(AND(O105=N105,N105=O105),"$0","$12.000")</f>
        <v>$0</v>
      </c>
      <c r="M105" s="66">
        <v>12000.0</v>
      </c>
      <c r="N105" s="52" t="b">
        <v>0</v>
      </c>
      <c r="O105" s="88" t="b">
        <v>0</v>
      </c>
      <c r="P105" s="49">
        <v>0.0</v>
      </c>
      <c r="Q105" s="1"/>
      <c r="R105" s="1"/>
      <c r="S105" s="48" t="s">
        <v>105</v>
      </c>
      <c r="T105" s="50">
        <v>0.0</v>
      </c>
      <c r="U105" s="65" t="str">
        <f>IF(AND(X105=W105,W105=X105),"$0","$12.000")</f>
        <v>$0</v>
      </c>
      <c r="V105" s="66">
        <v>12000.0</v>
      </c>
      <c r="W105" s="52" t="b">
        <v>0</v>
      </c>
      <c r="X105" s="88" t="b">
        <v>0</v>
      </c>
      <c r="Y105" s="49">
        <v>0.0</v>
      </c>
      <c r="Z105" s="1"/>
    </row>
    <row r="106">
      <c r="A106" s="48" t="s">
        <v>106</v>
      </c>
      <c r="B106" s="50">
        <v>0.0</v>
      </c>
      <c r="C106" s="50" t="str">
        <f>IF(AND(F106=E106,E106=F106),"$0","$8.000")</f>
        <v>$0</v>
      </c>
      <c r="D106" s="51">
        <v>8000.0</v>
      </c>
      <c r="E106" s="52" t="b">
        <v>0</v>
      </c>
      <c r="F106" s="89"/>
      <c r="G106" s="49">
        <v>0.0</v>
      </c>
      <c r="H106" s="74"/>
      <c r="I106" s="1"/>
      <c r="J106" s="48" t="s">
        <v>106</v>
      </c>
      <c r="K106" s="50">
        <v>0.0</v>
      </c>
      <c r="L106" s="50" t="str">
        <f>IF(AND(O106=N106,N106=O106),"$0","$8.000")</f>
        <v>$0</v>
      </c>
      <c r="M106" s="51">
        <v>8000.0</v>
      </c>
      <c r="N106" s="52" t="b">
        <v>0</v>
      </c>
      <c r="O106" s="89"/>
      <c r="P106" s="49">
        <v>0.0</v>
      </c>
      <c r="Q106" s="1"/>
      <c r="R106" s="1"/>
      <c r="S106" s="48" t="s">
        <v>106</v>
      </c>
      <c r="T106" s="50">
        <v>0.0</v>
      </c>
      <c r="U106" s="50" t="str">
        <f>IF(AND(X106=W106,W106=X106),"$0","$8.000")</f>
        <v>$0</v>
      </c>
      <c r="V106" s="51">
        <v>8000.0</v>
      </c>
      <c r="W106" s="52" t="b">
        <v>0</v>
      </c>
      <c r="X106" s="89"/>
      <c r="Y106" s="49">
        <v>0.0</v>
      </c>
      <c r="Z106" s="1"/>
    </row>
    <row r="107">
      <c r="A107" s="48" t="s">
        <v>106</v>
      </c>
      <c r="B107" s="50">
        <v>0.0</v>
      </c>
      <c r="C107" s="50" t="str">
        <f>IF(AND(F107=E107,E107=F107),"$0","$14.300")</f>
        <v>$0</v>
      </c>
      <c r="D107" s="51">
        <v>14300.0</v>
      </c>
      <c r="E107" s="52" t="b">
        <v>0</v>
      </c>
      <c r="F107" s="89"/>
      <c r="G107" s="49">
        <v>0.0</v>
      </c>
      <c r="H107" s="74"/>
      <c r="I107" s="1"/>
      <c r="J107" s="48" t="s">
        <v>106</v>
      </c>
      <c r="K107" s="50">
        <v>0.0</v>
      </c>
      <c r="L107" s="50" t="str">
        <f>IF(AND(O107=N107,N107=O107),"$0","$14.300")</f>
        <v>$0</v>
      </c>
      <c r="M107" s="51">
        <v>14300.0</v>
      </c>
      <c r="N107" s="52" t="b">
        <v>0</v>
      </c>
      <c r="O107" s="89"/>
      <c r="P107" s="49">
        <v>0.0</v>
      </c>
      <c r="Q107" s="1"/>
      <c r="R107" s="1"/>
      <c r="S107" s="48" t="s">
        <v>106</v>
      </c>
      <c r="T107" s="50">
        <v>0.0</v>
      </c>
      <c r="U107" s="50" t="str">
        <f>IF(AND(X107=W107,W107=X107),"$0","$14.300")</f>
        <v>$0</v>
      </c>
      <c r="V107" s="51">
        <v>14300.0</v>
      </c>
      <c r="W107" s="52" t="b">
        <v>0</v>
      </c>
      <c r="X107" s="89"/>
      <c r="Y107" s="49">
        <v>0.0</v>
      </c>
      <c r="Z107" s="1"/>
    </row>
    <row r="108">
      <c r="A108" s="48" t="s">
        <v>106</v>
      </c>
      <c r="B108" s="50">
        <v>0.0</v>
      </c>
      <c r="C108" s="50" t="str">
        <f>IF(AND(F108=E108,E108=F108),"$0","$10.800")</f>
        <v>$0</v>
      </c>
      <c r="D108" s="64">
        <v>10800.0</v>
      </c>
      <c r="E108" s="52" t="b">
        <v>0</v>
      </c>
      <c r="F108" s="88" t="b">
        <v>0</v>
      </c>
      <c r="G108" s="49">
        <v>0.0</v>
      </c>
      <c r="H108" s="74"/>
      <c r="I108" s="1"/>
      <c r="J108" s="48" t="s">
        <v>106</v>
      </c>
      <c r="K108" s="50">
        <v>0.0</v>
      </c>
      <c r="L108" s="50" t="str">
        <f>IF(AND(O108=N108,N108=O108),"$0","$10.800")</f>
        <v>$0</v>
      </c>
      <c r="M108" s="64">
        <v>10800.0</v>
      </c>
      <c r="N108" s="52" t="b">
        <v>0</v>
      </c>
      <c r="O108" s="88" t="b">
        <v>0</v>
      </c>
      <c r="P108" s="49">
        <v>0.0</v>
      </c>
      <c r="Q108" s="1"/>
      <c r="R108" s="1"/>
      <c r="S108" s="48" t="s">
        <v>106</v>
      </c>
      <c r="T108" s="50">
        <v>0.0</v>
      </c>
      <c r="U108" s="50" t="str">
        <f>IF(AND(X108=W108,W108=X108),"$0","$10.800")</f>
        <v>$0</v>
      </c>
      <c r="V108" s="64">
        <v>10800.0</v>
      </c>
      <c r="W108" s="52" t="b">
        <v>0</v>
      </c>
      <c r="X108" s="88" t="b">
        <v>0</v>
      </c>
      <c r="Y108" s="49">
        <v>0.0</v>
      </c>
      <c r="Z108" s="1"/>
    </row>
    <row r="109">
      <c r="A109" s="75" t="s">
        <v>107</v>
      </c>
      <c r="B109" s="50">
        <v>0.0</v>
      </c>
      <c r="C109" s="65" t="str">
        <f>IF(AND(F109=E109,E109=F109),"$0","$5.100")</f>
        <v>$5.100</v>
      </c>
      <c r="D109" s="66">
        <v>5100.0</v>
      </c>
      <c r="E109" s="52" t="b">
        <v>1</v>
      </c>
      <c r="F109" s="88" t="b">
        <v>0</v>
      </c>
      <c r="G109" s="49">
        <v>0.0</v>
      </c>
      <c r="H109" s="74"/>
      <c r="I109" s="1"/>
      <c r="J109" s="75" t="s">
        <v>107</v>
      </c>
      <c r="K109" s="50">
        <v>0.0</v>
      </c>
      <c r="L109" s="65" t="str">
        <f>IF(AND(O109=N109,N109=O109),"$0","$5.100")</f>
        <v>$0</v>
      </c>
      <c r="M109" s="66">
        <v>5100.0</v>
      </c>
      <c r="N109" s="52" t="b">
        <v>0</v>
      </c>
      <c r="O109" s="88" t="b">
        <v>0</v>
      </c>
      <c r="P109" s="49">
        <v>0.0</v>
      </c>
      <c r="Q109" s="1"/>
      <c r="R109" s="1"/>
      <c r="S109" s="75" t="s">
        <v>107</v>
      </c>
      <c r="T109" s="50">
        <v>0.0</v>
      </c>
      <c r="U109" s="65" t="str">
        <f>IF(AND(X109=W109,W109=X109),"$0","$5.100")</f>
        <v>$0</v>
      </c>
      <c r="V109" s="66">
        <v>5100.0</v>
      </c>
      <c r="W109" s="52" t="b">
        <v>0</v>
      </c>
      <c r="X109" s="88" t="b">
        <v>0</v>
      </c>
      <c r="Y109" s="49">
        <v>0.0</v>
      </c>
      <c r="Z109" s="1"/>
    </row>
    <row r="110">
      <c r="A110" s="75" t="s">
        <v>107</v>
      </c>
      <c r="B110" s="50">
        <v>0.0</v>
      </c>
      <c r="C110" s="65" t="str">
        <f>IF(AND(F110=E110,E110=F110),"$0","$15.800")</f>
        <v>$15.800</v>
      </c>
      <c r="D110" s="66">
        <v>15800.0</v>
      </c>
      <c r="E110" s="52" t="b">
        <v>1</v>
      </c>
      <c r="F110" s="88" t="b">
        <v>0</v>
      </c>
      <c r="G110" s="49">
        <v>0.0</v>
      </c>
      <c r="H110" s="74"/>
      <c r="I110" s="1"/>
      <c r="J110" s="75" t="s">
        <v>107</v>
      </c>
      <c r="K110" s="50">
        <v>0.0</v>
      </c>
      <c r="L110" s="65" t="str">
        <f>IF(AND(O110=N110,N110=O110),"$0","$15.800")</f>
        <v>$0</v>
      </c>
      <c r="M110" s="66">
        <v>15800.0</v>
      </c>
      <c r="N110" s="52" t="b">
        <v>0</v>
      </c>
      <c r="O110" s="88" t="b">
        <v>0</v>
      </c>
      <c r="P110" s="49">
        <v>0.0</v>
      </c>
      <c r="Q110" s="1"/>
      <c r="R110" s="1"/>
      <c r="S110" s="75" t="s">
        <v>107</v>
      </c>
      <c r="T110" s="50">
        <v>0.0</v>
      </c>
      <c r="U110" s="65" t="str">
        <f>IF(AND(X110=W110,W110=X110),"$0","$15.800")</f>
        <v>$0</v>
      </c>
      <c r="V110" s="66">
        <v>15800.0</v>
      </c>
      <c r="W110" s="52" t="b">
        <v>0</v>
      </c>
      <c r="X110" s="88" t="b">
        <v>0</v>
      </c>
      <c r="Y110" s="49">
        <v>0.0</v>
      </c>
      <c r="Z110" s="1"/>
    </row>
    <row r="111">
      <c r="A111" s="75" t="s">
        <v>108</v>
      </c>
      <c r="B111" s="50">
        <v>0.0</v>
      </c>
      <c r="C111" s="64" t="str">
        <f>IF(AND(F111=E111,E111=F111),"$0","$8.000")</f>
        <v>$8.000</v>
      </c>
      <c r="D111" s="51">
        <v>8000.0</v>
      </c>
      <c r="E111" s="52" t="b">
        <v>1</v>
      </c>
      <c r="F111" s="89"/>
      <c r="G111" s="49">
        <v>0.0</v>
      </c>
      <c r="H111" s="74"/>
      <c r="I111" s="1"/>
      <c r="J111" s="75" t="s">
        <v>108</v>
      </c>
      <c r="K111" s="50">
        <v>0.0</v>
      </c>
      <c r="L111" s="64" t="str">
        <f>IF(AND(O111=N111,N111=O111),"$0","$7.000")</f>
        <v>$0</v>
      </c>
      <c r="M111" s="51">
        <v>7000.0</v>
      </c>
      <c r="N111" s="52" t="b">
        <v>0</v>
      </c>
      <c r="O111" s="89"/>
      <c r="P111" s="49">
        <v>0.0</v>
      </c>
      <c r="Q111" s="1"/>
      <c r="R111" s="1"/>
      <c r="S111" s="75" t="s">
        <v>108</v>
      </c>
      <c r="T111" s="50">
        <v>0.0</v>
      </c>
      <c r="U111" s="64" t="str">
        <f>IF(AND(X111=W111,W111=X111),"$0","$7.000")</f>
        <v>$0</v>
      </c>
      <c r="V111" s="51">
        <v>7000.0</v>
      </c>
      <c r="W111" s="52" t="b">
        <v>0</v>
      </c>
      <c r="X111" s="89"/>
      <c r="Y111" s="49">
        <v>0.0</v>
      </c>
      <c r="Z111" s="1"/>
    </row>
    <row r="112">
      <c r="A112" s="75" t="s">
        <v>109</v>
      </c>
      <c r="B112" s="50">
        <v>0.0</v>
      </c>
      <c r="C112" s="65" t="str">
        <f>IF(AND(F112=E112,E112=F112),"$0","$3.700")</f>
        <v>$0</v>
      </c>
      <c r="D112" s="66">
        <v>3700.0</v>
      </c>
      <c r="E112" s="52" t="b">
        <v>0</v>
      </c>
      <c r="F112" s="89"/>
      <c r="G112" s="49">
        <v>0.0</v>
      </c>
      <c r="H112" s="74"/>
      <c r="I112" s="1"/>
      <c r="J112" s="75" t="s">
        <v>109</v>
      </c>
      <c r="K112" s="50">
        <v>0.0</v>
      </c>
      <c r="L112" s="65" t="str">
        <f>IF(AND(O112=N112,N112=O112),"$0","$3.700")</f>
        <v>$0</v>
      </c>
      <c r="M112" s="66">
        <v>3700.0</v>
      </c>
      <c r="N112" s="52" t="b">
        <v>0</v>
      </c>
      <c r="O112" s="89"/>
      <c r="P112" s="49">
        <v>0.0</v>
      </c>
      <c r="Q112" s="1"/>
      <c r="R112" s="1"/>
      <c r="S112" s="75" t="s">
        <v>109</v>
      </c>
      <c r="T112" s="50">
        <v>0.0</v>
      </c>
      <c r="U112" s="65" t="str">
        <f>IF(AND(X112=W112,W112=X112),"$0","$3.700")</f>
        <v>$0</v>
      </c>
      <c r="V112" s="66">
        <v>3700.0</v>
      </c>
      <c r="W112" s="52" t="b">
        <v>0</v>
      </c>
      <c r="X112" s="89"/>
      <c r="Y112" s="49">
        <v>0.0</v>
      </c>
      <c r="Z112" s="1"/>
    </row>
    <row r="113">
      <c r="A113" s="75" t="s">
        <v>109</v>
      </c>
      <c r="B113" s="50">
        <v>0.0</v>
      </c>
      <c r="C113" s="65" t="str">
        <f>IF(AND(F113=E113,E113=F113),"$0","$7.500")</f>
        <v>$0</v>
      </c>
      <c r="D113" s="66">
        <v>7500.0</v>
      </c>
      <c r="E113" s="52" t="b">
        <v>0</v>
      </c>
      <c r="F113" s="89"/>
      <c r="G113" s="49">
        <v>0.0</v>
      </c>
      <c r="H113" s="74"/>
      <c r="I113" s="1"/>
      <c r="J113" s="75" t="s">
        <v>109</v>
      </c>
      <c r="K113" s="50">
        <v>0.0</v>
      </c>
      <c r="L113" s="65" t="str">
        <f>IF(AND(O113=N113,N113=O113),"$0","$7.500")</f>
        <v>$0</v>
      </c>
      <c r="M113" s="66">
        <v>7500.0</v>
      </c>
      <c r="N113" s="52" t="b">
        <v>0</v>
      </c>
      <c r="O113" s="89"/>
      <c r="P113" s="49">
        <v>0.0</v>
      </c>
      <c r="Q113" s="1"/>
      <c r="R113" s="1"/>
      <c r="S113" s="75" t="s">
        <v>109</v>
      </c>
      <c r="T113" s="50">
        <v>0.0</v>
      </c>
      <c r="U113" s="65" t="str">
        <f>IF(AND(X113=W113,W113=X113),"$0","$7.500")</f>
        <v>$0</v>
      </c>
      <c r="V113" s="66">
        <v>7500.0</v>
      </c>
      <c r="W113" s="52" t="b">
        <v>0</v>
      </c>
      <c r="X113" s="89"/>
      <c r="Y113" s="49">
        <v>0.0</v>
      </c>
      <c r="Z113" s="1"/>
    </row>
    <row r="114" ht="19.5" customHeight="1">
      <c r="A114" s="75" t="s">
        <v>109</v>
      </c>
      <c r="B114" s="50">
        <v>0.0</v>
      </c>
      <c r="C114" s="65" t="str">
        <f>IF(AND(F114=E114,E114=F114),"$0","$15.000")</f>
        <v>$0</v>
      </c>
      <c r="D114" s="66">
        <v>19200.0</v>
      </c>
      <c r="E114" s="52" t="b">
        <v>0</v>
      </c>
      <c r="F114" s="89"/>
      <c r="G114" s="49">
        <v>0.0</v>
      </c>
      <c r="H114" s="74"/>
      <c r="I114" s="1"/>
      <c r="J114" s="75" t="s">
        <v>109</v>
      </c>
      <c r="K114" s="50">
        <v>0.0</v>
      </c>
      <c r="L114" s="65" t="str">
        <f>IF(AND(O114=N114,N114=O114),"$0","$15.000")</f>
        <v>$0</v>
      </c>
      <c r="M114" s="66">
        <v>19200.0</v>
      </c>
      <c r="N114" s="52" t="b">
        <v>0</v>
      </c>
      <c r="O114" s="89"/>
      <c r="P114" s="49">
        <v>0.0</v>
      </c>
      <c r="Q114" s="1"/>
      <c r="R114" s="1"/>
      <c r="S114" s="75" t="s">
        <v>109</v>
      </c>
      <c r="T114" s="50">
        <v>0.0</v>
      </c>
      <c r="U114" s="65" t="str">
        <f>IF(AND(X114=W114,W114=X114),"$0","$15.000")</f>
        <v>$0</v>
      </c>
      <c r="V114" s="66">
        <v>19200.0</v>
      </c>
      <c r="W114" s="52" t="b">
        <v>0</v>
      </c>
      <c r="X114" s="89"/>
      <c r="Y114" s="49">
        <v>0.0</v>
      </c>
      <c r="Z114" s="1"/>
    </row>
    <row r="115">
      <c r="A115" s="58" t="s">
        <v>110</v>
      </c>
      <c r="B115" s="50">
        <v>0.0</v>
      </c>
      <c r="C115" s="65" t="str">
        <f>IF(AND(F115=E115,E115=F115),"$0","$4.500")</f>
        <v>$0</v>
      </c>
      <c r="D115" s="66">
        <v>4500.0</v>
      </c>
      <c r="E115" s="52" t="b">
        <v>0</v>
      </c>
      <c r="F115" s="89"/>
      <c r="G115" s="49">
        <v>0.0</v>
      </c>
      <c r="H115" s="74"/>
      <c r="I115" s="1"/>
      <c r="J115" s="58" t="s">
        <v>110</v>
      </c>
      <c r="K115" s="50">
        <v>0.0</v>
      </c>
      <c r="L115" s="65" t="str">
        <f>IF(AND(O115=N115,N115=O115),"$0","$4.500")</f>
        <v>$0</v>
      </c>
      <c r="M115" s="66">
        <v>4500.0</v>
      </c>
      <c r="N115" s="52" t="b">
        <v>0</v>
      </c>
      <c r="O115" s="89"/>
      <c r="P115" s="49">
        <v>0.0</v>
      </c>
      <c r="Q115" s="1"/>
      <c r="R115" s="1"/>
      <c r="S115" s="58" t="s">
        <v>110</v>
      </c>
      <c r="T115" s="50">
        <v>0.0</v>
      </c>
      <c r="U115" s="65" t="str">
        <f>IF(AND(X115=W115,W115=X115),"$0","$4.500")</f>
        <v>$0</v>
      </c>
      <c r="V115" s="66">
        <v>4500.0</v>
      </c>
      <c r="W115" s="52" t="b">
        <v>0</v>
      </c>
      <c r="X115" s="89"/>
      <c r="Y115" s="49">
        <v>0.0</v>
      </c>
      <c r="Z115" s="1"/>
    </row>
    <row r="116">
      <c r="A116" s="90"/>
      <c r="B116" s="91" t="s">
        <v>111</v>
      </c>
      <c r="C116" s="92"/>
      <c r="D116" s="93">
        <f>SUM(D3:D115)</f>
        <v>1879070</v>
      </c>
      <c r="E116" s="94" t="b">
        <v>0</v>
      </c>
      <c r="F116" s="94" t="b">
        <v>0</v>
      </c>
      <c r="G116" s="93"/>
      <c r="H116" s="74"/>
      <c r="I116" s="1"/>
      <c r="J116" s="90"/>
      <c r="K116" s="91" t="s">
        <v>111</v>
      </c>
      <c r="L116" s="92"/>
      <c r="M116" s="93">
        <f>SUM(M3:M115)</f>
        <v>1846470</v>
      </c>
      <c r="N116" s="94" t="b">
        <v>0</v>
      </c>
      <c r="O116" s="94" t="b">
        <v>0</v>
      </c>
      <c r="P116" s="93"/>
      <c r="Q116" s="1"/>
      <c r="R116" s="1"/>
      <c r="S116" s="90"/>
      <c r="T116" s="91" t="s">
        <v>111</v>
      </c>
      <c r="U116" s="92"/>
      <c r="V116" s="93">
        <f>SUM(V3:V115)</f>
        <v>1878070</v>
      </c>
      <c r="W116" s="94" t="b">
        <v>0</v>
      </c>
      <c r="X116" s="94" t="b">
        <v>0</v>
      </c>
      <c r="Y116" s="93"/>
      <c r="Z116" s="1"/>
    </row>
    <row r="117">
      <c r="A117" s="58" t="s">
        <v>112</v>
      </c>
      <c r="B117" s="50">
        <v>0.0</v>
      </c>
      <c r="C117" s="50" t="str">
        <f>IF(AND(F117=E117,E117=F117),"$0","$19.000")</f>
        <v>$0</v>
      </c>
      <c r="D117" s="51">
        <v>60000.0</v>
      </c>
      <c r="E117" s="52" t="b">
        <v>0</v>
      </c>
      <c r="F117" s="53" t="b">
        <v>0</v>
      </c>
      <c r="G117" s="49">
        <v>0.0</v>
      </c>
      <c r="H117" s="74"/>
      <c r="I117" s="1"/>
      <c r="J117" s="58" t="s">
        <v>112</v>
      </c>
      <c r="K117" s="50">
        <v>0.0</v>
      </c>
      <c r="L117" s="50" t="str">
        <f>IF(AND(O117=N117,N117=O117),"$0","$19.000")</f>
        <v>$0</v>
      </c>
      <c r="M117" s="51">
        <v>60000.0</v>
      </c>
      <c r="N117" s="52" t="b">
        <v>0</v>
      </c>
      <c r="O117" s="53" t="b">
        <v>0</v>
      </c>
      <c r="P117" s="49">
        <v>0.0</v>
      </c>
      <c r="Q117" s="1"/>
      <c r="R117" s="1"/>
      <c r="S117" s="58" t="s">
        <v>112</v>
      </c>
      <c r="T117" s="50">
        <v>0.0</v>
      </c>
      <c r="U117" s="50" t="str">
        <f>IF(AND(X117=W117,W117=X117),"$0","$19.000")</f>
        <v>$0</v>
      </c>
      <c r="V117" s="51">
        <v>60000.0</v>
      </c>
      <c r="W117" s="52" t="b">
        <v>0</v>
      </c>
      <c r="X117" s="53" t="b">
        <v>0</v>
      </c>
      <c r="Y117" s="49">
        <v>0.0</v>
      </c>
      <c r="Z117" s="1"/>
    </row>
    <row r="118">
      <c r="A118" s="58" t="s">
        <v>113</v>
      </c>
      <c r="B118" s="50">
        <v>0.0</v>
      </c>
      <c r="C118" s="50" t="str">
        <f>IF(AND(F118=E118,E118=F118),"$0","$50.0000")</f>
        <v>$0</v>
      </c>
      <c r="D118" s="51">
        <v>50000.0</v>
      </c>
      <c r="E118" s="52" t="b">
        <v>0</v>
      </c>
      <c r="F118" s="53" t="b">
        <v>0</v>
      </c>
      <c r="G118" s="49">
        <v>0.0</v>
      </c>
      <c r="H118" s="74"/>
      <c r="I118" s="1"/>
      <c r="J118" s="58" t="s">
        <v>113</v>
      </c>
      <c r="K118" s="50">
        <v>0.0</v>
      </c>
      <c r="L118" s="50" t="str">
        <f>IF(AND(O118=N118,N118=O118),"$0","$50.0000")</f>
        <v>$0</v>
      </c>
      <c r="M118" s="51">
        <v>50000.0</v>
      </c>
      <c r="N118" s="52" t="b">
        <v>0</v>
      </c>
      <c r="O118" s="53" t="b">
        <v>0</v>
      </c>
      <c r="P118" s="49">
        <v>0.0</v>
      </c>
      <c r="Q118" s="1"/>
      <c r="R118" s="1"/>
      <c r="S118" s="58" t="s">
        <v>113</v>
      </c>
      <c r="T118" s="50">
        <v>0.0</v>
      </c>
      <c r="U118" s="50" t="str">
        <f>IF(AND(X118=W118,W118=X118),"$0","$50.0000")</f>
        <v>$0</v>
      </c>
      <c r="V118" s="51">
        <v>50000.0</v>
      </c>
      <c r="W118" s="52" t="b">
        <v>0</v>
      </c>
      <c r="X118" s="53" t="b">
        <v>0</v>
      </c>
      <c r="Y118" s="49">
        <v>0.0</v>
      </c>
      <c r="Z118" s="1"/>
    </row>
    <row r="119">
      <c r="A119" s="95" t="s">
        <v>114</v>
      </c>
      <c r="B119" s="96"/>
      <c r="C119" s="96"/>
      <c r="D119" s="96"/>
      <c r="E119" s="97"/>
      <c r="F119" s="96"/>
      <c r="G119" s="96"/>
      <c r="H119" s="74"/>
      <c r="I119" s="1"/>
      <c r="J119" s="95" t="s">
        <v>114</v>
      </c>
      <c r="K119" s="96"/>
      <c r="L119" s="96"/>
      <c r="M119" s="96"/>
      <c r="N119" s="97"/>
      <c r="O119" s="96"/>
      <c r="P119" s="96"/>
      <c r="Q119" s="1"/>
      <c r="R119" s="1"/>
      <c r="S119" s="95" t="s">
        <v>114</v>
      </c>
      <c r="T119" s="96"/>
      <c r="U119" s="96"/>
      <c r="V119" s="96"/>
      <c r="W119" s="97"/>
      <c r="X119" s="96"/>
      <c r="Y119" s="96"/>
      <c r="Z119" s="1"/>
    </row>
    <row r="120">
      <c r="A120" s="48" t="s">
        <v>115</v>
      </c>
      <c r="B120" s="50">
        <v>0.0</v>
      </c>
      <c r="C120" s="50" t="str">
        <f>IF(AND(F120=E120,E120=F120),"$0","$4.300")</f>
        <v>$0</v>
      </c>
      <c r="D120" s="51">
        <v>4300.0</v>
      </c>
      <c r="E120" s="52" t="b">
        <v>0</v>
      </c>
      <c r="F120" s="53" t="b">
        <v>0</v>
      </c>
      <c r="G120" s="49">
        <v>0.0</v>
      </c>
      <c r="H120" s="74"/>
      <c r="I120" s="1"/>
      <c r="J120" s="48" t="s">
        <v>115</v>
      </c>
      <c r="K120" s="50">
        <v>0.0</v>
      </c>
      <c r="L120" s="50" t="str">
        <f>IF(AND(O120=N120,N120=O120),"$0","$4.300")</f>
        <v>$0</v>
      </c>
      <c r="M120" s="51">
        <v>4300.0</v>
      </c>
      <c r="N120" s="52" t="b">
        <v>0</v>
      </c>
      <c r="O120" s="53" t="b">
        <v>0</v>
      </c>
      <c r="P120" s="49">
        <v>0.0</v>
      </c>
      <c r="Q120" s="1"/>
      <c r="R120" s="1"/>
      <c r="S120" s="48" t="s">
        <v>115</v>
      </c>
      <c r="T120" s="50">
        <v>0.0</v>
      </c>
      <c r="U120" s="50" t="str">
        <f>IF(AND(X120=W120,W120=X120),"$0","$4.300")</f>
        <v>$0</v>
      </c>
      <c r="V120" s="51">
        <v>4300.0</v>
      </c>
      <c r="W120" s="52" t="b">
        <v>0</v>
      </c>
      <c r="X120" s="53" t="b">
        <v>0</v>
      </c>
      <c r="Y120" s="49">
        <v>0.0</v>
      </c>
      <c r="Z120" s="1"/>
    </row>
    <row r="121">
      <c r="A121" s="48" t="s">
        <v>116</v>
      </c>
      <c r="B121" s="50">
        <v>0.0</v>
      </c>
      <c r="C121" s="50" t="str">
        <f>IF(AND(F121=E121,E121=F121),"$0","$6.600")</f>
        <v>$0</v>
      </c>
      <c r="D121" s="51">
        <v>6600.0</v>
      </c>
      <c r="E121" s="52" t="b">
        <v>0</v>
      </c>
      <c r="F121" s="53" t="b">
        <v>0</v>
      </c>
      <c r="G121" s="49">
        <v>0.0</v>
      </c>
      <c r="H121" s="74"/>
      <c r="I121" s="1"/>
      <c r="J121" s="48" t="s">
        <v>116</v>
      </c>
      <c r="K121" s="50">
        <v>0.0</v>
      </c>
      <c r="L121" s="50" t="str">
        <f>IF(AND(O121=N121,N121=O121),"$0","$6.600")</f>
        <v>$0</v>
      </c>
      <c r="M121" s="51">
        <v>6600.0</v>
      </c>
      <c r="N121" s="52" t="b">
        <v>0</v>
      </c>
      <c r="O121" s="53" t="b">
        <v>0</v>
      </c>
      <c r="P121" s="49">
        <v>0.0</v>
      </c>
      <c r="Q121" s="1"/>
      <c r="R121" s="1"/>
      <c r="S121" s="48" t="s">
        <v>116</v>
      </c>
      <c r="T121" s="50">
        <v>0.0</v>
      </c>
      <c r="U121" s="50" t="str">
        <f>IF(AND(X121=W121,W121=X121),"$0","$6.600")</f>
        <v>$0</v>
      </c>
      <c r="V121" s="51">
        <v>6600.0</v>
      </c>
      <c r="W121" s="52" t="b">
        <v>0</v>
      </c>
      <c r="X121" s="53" t="b">
        <v>0</v>
      </c>
      <c r="Y121" s="49">
        <v>0.0</v>
      </c>
      <c r="Z121" s="1"/>
    </row>
    <row r="122">
      <c r="A122" s="68" t="s">
        <v>117</v>
      </c>
      <c r="B122" s="50">
        <v>0.0</v>
      </c>
      <c r="C122" s="64" t="str">
        <f>IF(AND(F122=E122,E122=F122),"$0","$9.3000")</f>
        <v>$0</v>
      </c>
      <c r="D122" s="51">
        <v>9300.0</v>
      </c>
      <c r="E122" s="52" t="b">
        <v>0</v>
      </c>
      <c r="F122" s="53" t="b">
        <v>0</v>
      </c>
      <c r="G122" s="49">
        <v>0.0</v>
      </c>
      <c r="H122" s="74"/>
      <c r="I122" s="1"/>
      <c r="J122" s="68" t="s">
        <v>117</v>
      </c>
      <c r="K122" s="50">
        <v>0.0</v>
      </c>
      <c r="L122" s="64" t="str">
        <f>IF(AND(O122=N122,N122=O122),"$0","$9.3000")</f>
        <v>$0</v>
      </c>
      <c r="M122" s="51">
        <v>9300.0</v>
      </c>
      <c r="N122" s="52" t="b">
        <v>0</v>
      </c>
      <c r="O122" s="53" t="b">
        <v>0</v>
      </c>
      <c r="P122" s="49">
        <v>0.0</v>
      </c>
      <c r="Q122" s="1"/>
      <c r="R122" s="1"/>
      <c r="S122" s="68" t="s">
        <v>117</v>
      </c>
      <c r="T122" s="50">
        <v>0.0</v>
      </c>
      <c r="U122" s="64" t="str">
        <f>IF(AND(X122=W122,W122=X122),"$0","$9.3000")</f>
        <v>$0</v>
      </c>
      <c r="V122" s="51">
        <v>9300.0</v>
      </c>
      <c r="W122" s="52" t="b">
        <v>0</v>
      </c>
      <c r="X122" s="53" t="b">
        <v>0</v>
      </c>
      <c r="Y122" s="49">
        <v>0.0</v>
      </c>
      <c r="Z122" s="1"/>
    </row>
    <row r="123">
      <c r="A123" s="48" t="s">
        <v>118</v>
      </c>
      <c r="B123" s="50">
        <v>0.0</v>
      </c>
      <c r="C123" s="65" t="str">
        <f>IF(AND(F123=E123,E123=F123),"$0","$5.300")</f>
        <v>$0</v>
      </c>
      <c r="D123" s="66">
        <v>5300.0</v>
      </c>
      <c r="E123" s="52" t="b">
        <v>0</v>
      </c>
      <c r="F123" s="53" t="b">
        <v>0</v>
      </c>
      <c r="G123" s="49">
        <v>0.0</v>
      </c>
      <c r="H123" s="74"/>
      <c r="I123" s="1"/>
      <c r="J123" s="48" t="s">
        <v>118</v>
      </c>
      <c r="K123" s="50">
        <v>0.0</v>
      </c>
      <c r="L123" s="65" t="str">
        <f>IF(AND(O123=N123,N123=O123),"$0","$5.300")</f>
        <v>$0</v>
      </c>
      <c r="M123" s="66">
        <v>5300.0</v>
      </c>
      <c r="N123" s="52" t="b">
        <v>0</v>
      </c>
      <c r="O123" s="53" t="b">
        <v>0</v>
      </c>
      <c r="P123" s="49">
        <v>0.0</v>
      </c>
      <c r="Q123" s="1"/>
      <c r="R123" s="1"/>
      <c r="S123" s="48" t="s">
        <v>118</v>
      </c>
      <c r="T123" s="50">
        <v>0.0</v>
      </c>
      <c r="U123" s="65" t="str">
        <f>IF(AND(X123=W123,W123=X123),"$0","$5.300")</f>
        <v>$0</v>
      </c>
      <c r="V123" s="66">
        <v>5300.0</v>
      </c>
      <c r="W123" s="52" t="b">
        <v>0</v>
      </c>
      <c r="X123" s="53" t="b">
        <v>0</v>
      </c>
      <c r="Y123" s="49">
        <v>0.0</v>
      </c>
      <c r="Z123" s="1"/>
    </row>
    <row r="124">
      <c r="A124" s="98" t="s">
        <v>119</v>
      </c>
      <c r="B124" s="99"/>
      <c r="C124" s="99"/>
      <c r="D124" s="99"/>
      <c r="E124" s="99"/>
      <c r="F124" s="99"/>
      <c r="G124" s="99"/>
      <c r="H124" s="74"/>
      <c r="I124" s="1"/>
      <c r="J124" s="98" t="s">
        <v>119</v>
      </c>
      <c r="K124" s="99"/>
      <c r="L124" s="99"/>
      <c r="M124" s="99"/>
      <c r="N124" s="99"/>
      <c r="O124" s="99"/>
      <c r="P124" s="99"/>
      <c r="Q124" s="1"/>
      <c r="R124" s="1"/>
      <c r="S124" s="98" t="s">
        <v>119</v>
      </c>
      <c r="T124" s="99"/>
      <c r="U124" s="99"/>
      <c r="V124" s="99"/>
      <c r="W124" s="99"/>
      <c r="X124" s="99"/>
      <c r="Y124" s="99"/>
      <c r="Z124" s="1"/>
    </row>
    <row r="125">
      <c r="A125" s="100" t="s">
        <v>120</v>
      </c>
      <c r="B125" s="65">
        <v>25600.0</v>
      </c>
      <c r="C125" s="99"/>
      <c r="D125" s="99"/>
      <c r="E125" s="99"/>
      <c r="F125" s="99"/>
      <c r="G125" s="99"/>
      <c r="H125" s="74"/>
      <c r="I125" s="1"/>
      <c r="J125" s="100" t="s">
        <v>120</v>
      </c>
      <c r="K125" s="65">
        <v>25600.0</v>
      </c>
      <c r="L125" s="99"/>
      <c r="M125" s="99"/>
      <c r="N125" s="99"/>
      <c r="O125" s="99"/>
      <c r="P125" s="99"/>
      <c r="Q125" s="1"/>
      <c r="R125" s="1"/>
      <c r="S125" s="100" t="s">
        <v>120</v>
      </c>
      <c r="T125" s="65">
        <v>25600.0</v>
      </c>
      <c r="U125" s="99"/>
      <c r="V125" s="99"/>
      <c r="W125" s="99"/>
      <c r="X125" s="99"/>
      <c r="Y125" s="99"/>
      <c r="Z125" s="1"/>
    </row>
    <row r="126">
      <c r="A126" s="101" t="s">
        <v>120</v>
      </c>
      <c r="B126" s="64">
        <v>15000.0</v>
      </c>
      <c r="C126" s="63"/>
      <c r="D126" s="63"/>
      <c r="E126" s="102"/>
      <c r="F126" s="103"/>
      <c r="G126" s="63"/>
      <c r="H126" s="74"/>
      <c r="I126" s="1"/>
      <c r="J126" s="101" t="s">
        <v>120</v>
      </c>
      <c r="K126" s="64">
        <v>15000.0</v>
      </c>
      <c r="L126" s="63"/>
      <c r="M126" s="63"/>
      <c r="N126" s="102"/>
      <c r="O126" s="103"/>
      <c r="P126" s="63"/>
      <c r="Q126" s="1"/>
      <c r="R126" s="1"/>
      <c r="S126" s="101" t="s">
        <v>120</v>
      </c>
      <c r="T126" s="64">
        <v>15000.0</v>
      </c>
      <c r="U126" s="63"/>
      <c r="V126" s="63"/>
      <c r="W126" s="102"/>
      <c r="X126" s="103"/>
      <c r="Y126" s="63"/>
      <c r="Z126" s="1"/>
    </row>
    <row r="127">
      <c r="A127" s="104" t="s">
        <v>121</v>
      </c>
      <c r="B127" s="105">
        <v>13300.0</v>
      </c>
      <c r="C127" s="63"/>
      <c r="D127" s="63"/>
      <c r="E127" s="102"/>
      <c r="F127" s="103"/>
      <c r="G127" s="63"/>
      <c r="H127" s="74"/>
      <c r="I127" s="1"/>
      <c r="J127" s="104" t="s">
        <v>121</v>
      </c>
      <c r="K127" s="105">
        <v>13300.0</v>
      </c>
      <c r="L127" s="63"/>
      <c r="M127" s="63"/>
      <c r="N127" s="102"/>
      <c r="O127" s="103"/>
      <c r="P127" s="63"/>
      <c r="Q127" s="1"/>
      <c r="R127" s="1"/>
      <c r="S127" s="104" t="s">
        <v>121</v>
      </c>
      <c r="T127" s="105">
        <v>13300.0</v>
      </c>
      <c r="U127" s="63"/>
      <c r="V127" s="63"/>
      <c r="W127" s="102"/>
      <c r="X127" s="103"/>
      <c r="Y127" s="63"/>
      <c r="Z127" s="1"/>
    </row>
    <row r="128">
      <c r="A128" s="101" t="s">
        <v>122</v>
      </c>
      <c r="B128" s="64">
        <v>55500.0</v>
      </c>
      <c r="C128" s="63"/>
      <c r="D128" s="63"/>
      <c r="E128" s="103"/>
      <c r="F128" s="99"/>
      <c r="G128" s="63"/>
      <c r="H128" s="74"/>
      <c r="I128" s="1"/>
      <c r="J128" s="101" t="s">
        <v>122</v>
      </c>
      <c r="K128" s="64">
        <v>55500.0</v>
      </c>
      <c r="L128" s="63"/>
      <c r="M128" s="63"/>
      <c r="N128" s="103"/>
      <c r="O128" s="99"/>
      <c r="P128" s="63"/>
      <c r="Q128" s="1"/>
      <c r="R128" s="1"/>
      <c r="S128" s="101" t="s">
        <v>122</v>
      </c>
      <c r="T128" s="64">
        <v>55500.0</v>
      </c>
      <c r="U128" s="63"/>
      <c r="V128" s="63"/>
      <c r="W128" s="103"/>
      <c r="X128" s="99"/>
      <c r="Y128" s="63"/>
      <c r="Z128" s="1"/>
    </row>
    <row r="129">
      <c r="A129" s="104" t="s">
        <v>121</v>
      </c>
      <c r="B129" s="105">
        <v>13300.0</v>
      </c>
      <c r="C129" s="63"/>
      <c r="D129" s="63"/>
      <c r="E129" s="102"/>
      <c r="F129" s="103"/>
      <c r="G129" s="63"/>
      <c r="H129" s="74"/>
      <c r="I129" s="1"/>
      <c r="J129" s="104" t="s">
        <v>121</v>
      </c>
      <c r="K129" s="105">
        <v>13300.0</v>
      </c>
      <c r="L129" s="63"/>
      <c r="M129" s="63"/>
      <c r="N129" s="102"/>
      <c r="O129" s="103"/>
      <c r="P129" s="63"/>
      <c r="Q129" s="1"/>
      <c r="R129" s="1"/>
      <c r="S129" s="104" t="s">
        <v>121</v>
      </c>
      <c r="T129" s="105">
        <v>13300.0</v>
      </c>
      <c r="U129" s="63"/>
      <c r="V129" s="63"/>
      <c r="W129" s="102"/>
      <c r="X129" s="103"/>
      <c r="Y129" s="63"/>
      <c r="Z129" s="1"/>
    </row>
    <row r="130">
      <c r="A130" s="101" t="s">
        <v>122</v>
      </c>
      <c r="B130" s="64">
        <v>55500.0</v>
      </c>
      <c r="C130" s="63"/>
      <c r="D130" s="63"/>
      <c r="E130" s="103"/>
      <c r="F130" s="99"/>
      <c r="G130" s="63"/>
      <c r="H130" s="74"/>
      <c r="I130" s="1"/>
      <c r="J130" s="101" t="s">
        <v>122</v>
      </c>
      <c r="K130" s="64">
        <v>55500.0</v>
      </c>
      <c r="L130" s="63"/>
      <c r="M130" s="63"/>
      <c r="N130" s="103"/>
      <c r="O130" s="99"/>
      <c r="P130" s="63"/>
      <c r="Q130" s="1"/>
      <c r="R130" s="1"/>
      <c r="S130" s="101" t="s">
        <v>122</v>
      </c>
      <c r="T130" s="64">
        <v>55500.0</v>
      </c>
      <c r="U130" s="63"/>
      <c r="V130" s="63"/>
      <c r="W130" s="103"/>
      <c r="X130" s="99"/>
      <c r="Y130" s="63"/>
      <c r="Z130" s="1"/>
    </row>
    <row r="131">
      <c r="A131" s="106" t="s">
        <v>123</v>
      </c>
      <c r="B131" s="64"/>
      <c r="C131" s="1"/>
      <c r="D131" s="1"/>
      <c r="E131" s="1"/>
      <c r="F131" s="1"/>
      <c r="G131" s="1"/>
      <c r="H131" s="74"/>
      <c r="I131" s="1"/>
      <c r="J131" s="106" t="s">
        <v>123</v>
      </c>
      <c r="K131" s="64"/>
      <c r="L131" s="1"/>
      <c r="M131" s="1"/>
      <c r="N131" s="1"/>
      <c r="O131" s="1"/>
      <c r="P131" s="1"/>
      <c r="Q131" s="1"/>
      <c r="R131" s="1"/>
      <c r="S131" s="106" t="s">
        <v>123</v>
      </c>
      <c r="T131" s="64"/>
      <c r="U131" s="1"/>
      <c r="V131" s="1"/>
      <c r="W131" s="1"/>
      <c r="X131" s="1"/>
      <c r="Y131" s="1"/>
      <c r="Z131" s="1"/>
    </row>
    <row r="132">
      <c r="A132" s="106" t="s">
        <v>124</v>
      </c>
      <c r="B132" s="64"/>
      <c r="C132" s="1"/>
      <c r="D132" s="1"/>
      <c r="E132" s="1"/>
      <c r="F132" s="1"/>
      <c r="G132" s="1"/>
      <c r="H132" s="74"/>
      <c r="I132" s="1"/>
      <c r="J132" s="106" t="s">
        <v>124</v>
      </c>
      <c r="K132" s="64"/>
      <c r="L132" s="1"/>
      <c r="M132" s="1"/>
      <c r="N132" s="1"/>
      <c r="O132" s="1"/>
      <c r="P132" s="1"/>
      <c r="Q132" s="1"/>
      <c r="R132" s="1"/>
      <c r="S132" s="106" t="s">
        <v>124</v>
      </c>
      <c r="T132" s="64"/>
      <c r="U132" s="1"/>
      <c r="V132" s="1"/>
      <c r="W132" s="1"/>
      <c r="X132" s="1"/>
      <c r="Y132" s="1"/>
      <c r="Z132" s="1"/>
    </row>
    <row r="133">
      <c r="A133" s="106" t="s">
        <v>125</v>
      </c>
      <c r="B133" s="1"/>
      <c r="C133" s="1"/>
      <c r="D133" s="1"/>
      <c r="E133" s="1"/>
      <c r="F133" s="1"/>
      <c r="G133" s="1"/>
      <c r="H133" s="107"/>
      <c r="I133" s="1"/>
      <c r="J133" s="106" t="s">
        <v>125</v>
      </c>
      <c r="K133" s="1"/>
      <c r="L133" s="1"/>
      <c r="M133" s="1"/>
      <c r="N133" s="1"/>
      <c r="O133" s="1"/>
      <c r="P133" s="1"/>
      <c r="Q133" s="1"/>
      <c r="R133" s="1"/>
      <c r="S133" s="106" t="s">
        <v>125</v>
      </c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25"/>
      <c r="E134" s="108"/>
      <c r="F134" s="108"/>
      <c r="G134" s="1"/>
      <c r="H134" s="1"/>
      <c r="I134" s="1"/>
      <c r="J134" s="106" t="s">
        <v>124</v>
      </c>
      <c r="K134" s="6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25"/>
      <c r="E135" s="108"/>
      <c r="F135" s="108"/>
      <c r="G135" s="1"/>
      <c r="H135" s="1"/>
      <c r="I135" s="1"/>
      <c r="J135" s="106" t="s">
        <v>125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25"/>
      <c r="E136" s="108"/>
      <c r="F136" s="10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25"/>
      <c r="E137" s="108"/>
      <c r="F137" s="10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25"/>
      <c r="E138" s="108"/>
      <c r="F138" s="10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25"/>
      <c r="E139" s="108"/>
      <c r="F139" s="10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25"/>
      <c r="E140" s="108"/>
      <c r="F140" s="10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25"/>
      <c r="E141" s="108"/>
      <c r="F141" s="10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47" t="s">
        <v>18</v>
      </c>
      <c r="B142" s="46"/>
      <c r="C142" s="1"/>
      <c r="D142" s="25"/>
      <c r="E142" s="108"/>
      <c r="F142" s="10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6" t="s">
        <v>126</v>
      </c>
      <c r="B143" s="57">
        <f>54200*2+92600*4</f>
        <v>478800</v>
      </c>
      <c r="C143" s="1"/>
      <c r="D143" s="25"/>
      <c r="E143" s="108"/>
      <c r="F143" s="10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6" t="s">
        <v>127</v>
      </c>
      <c r="B144" s="57">
        <v>0.0</v>
      </c>
      <c r="C144" s="1"/>
      <c r="D144" s="25"/>
      <c r="E144" s="108"/>
      <c r="F144" s="10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6" t="s">
        <v>121</v>
      </c>
      <c r="B145" s="57">
        <f>250000</f>
        <v>250000</v>
      </c>
      <c r="C145" s="1"/>
      <c r="D145" s="25"/>
      <c r="E145" s="108"/>
      <c r="F145" s="10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6" t="s">
        <v>128</v>
      </c>
      <c r="B146" s="57">
        <f>28500*3</f>
        <v>85500</v>
      </c>
      <c r="C146" s="1"/>
      <c r="D146" s="25"/>
      <c r="E146" s="108"/>
      <c r="F146" s="10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7" t="s">
        <v>129</v>
      </c>
      <c r="B147" s="57">
        <f>12500*6</f>
        <v>75000</v>
      </c>
      <c r="C147" s="1"/>
      <c r="D147" s="25"/>
      <c r="E147" s="108"/>
      <c r="F147" s="10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6" t="s">
        <v>130</v>
      </c>
      <c r="B148" s="57">
        <f>SUM(B143,B145:B147)+180000</f>
        <v>1069300</v>
      </c>
      <c r="C148" s="1"/>
      <c r="D148" s="25"/>
      <c r="E148" s="108"/>
      <c r="F148" s="10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25"/>
      <c r="E149" s="108"/>
      <c r="F149" s="10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25"/>
      <c r="E150" s="108"/>
      <c r="F150" s="10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25"/>
      <c r="E151" s="108"/>
      <c r="F151" s="10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25"/>
      <c r="E152" s="108"/>
      <c r="F152" s="10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25"/>
      <c r="E153" s="108"/>
      <c r="F153" s="10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25"/>
      <c r="E154" s="108"/>
      <c r="F154" s="10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25"/>
      <c r="E155" s="108"/>
      <c r="F155" s="10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25"/>
      <c r="E156" s="108"/>
      <c r="F156" s="10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25"/>
      <c r="E157" s="108"/>
      <c r="F157" s="10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25"/>
      <c r="E158" s="108"/>
      <c r="F158" s="10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25"/>
      <c r="E159" s="108"/>
      <c r="F159" s="10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25"/>
      <c r="E160" s="108"/>
      <c r="F160" s="10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25"/>
      <c r="E161" s="108"/>
      <c r="F161" s="10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25"/>
      <c r="E162" s="108"/>
      <c r="F162" s="10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25"/>
      <c r="E163" s="108"/>
      <c r="F163" s="10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25"/>
      <c r="E164" s="108"/>
      <c r="F164" s="10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25"/>
      <c r="E165" s="108"/>
      <c r="F165" s="10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25"/>
      <c r="E166" s="108"/>
      <c r="F166" s="10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25"/>
      <c r="E167" s="108"/>
      <c r="F167" s="10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25"/>
      <c r="E168" s="108"/>
      <c r="F168" s="10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25"/>
      <c r="E169" s="108"/>
      <c r="F169" s="10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25"/>
      <c r="E170" s="108"/>
      <c r="F170" s="10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25"/>
      <c r="E171" s="108"/>
      <c r="F171" s="10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25"/>
      <c r="E172" s="108"/>
      <c r="F172" s="10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25"/>
      <c r="E173" s="108"/>
      <c r="F173" s="10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25"/>
      <c r="E174" s="108"/>
      <c r="F174" s="10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25"/>
      <c r="E175" s="108"/>
      <c r="F175" s="10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25"/>
      <c r="E176" s="108"/>
      <c r="F176" s="10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25"/>
      <c r="E177" s="108"/>
      <c r="F177" s="10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25"/>
      <c r="E178" s="108"/>
      <c r="F178" s="10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25"/>
      <c r="E179" s="108"/>
      <c r="F179" s="10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25"/>
      <c r="E180" s="108"/>
      <c r="F180" s="10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25"/>
      <c r="E181" s="108"/>
      <c r="F181" s="10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25"/>
      <c r="E182" s="108"/>
      <c r="F182" s="10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25"/>
      <c r="E183" s="108"/>
      <c r="F183" s="10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25"/>
      <c r="E184" s="108"/>
      <c r="F184" s="10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25"/>
      <c r="E185" s="108"/>
      <c r="F185" s="10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25"/>
      <c r="E186" s="108"/>
      <c r="F186" s="10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25"/>
      <c r="E187" s="108"/>
      <c r="F187" s="10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25"/>
      <c r="E188" s="108"/>
      <c r="F188" s="10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25"/>
      <c r="E189" s="108"/>
      <c r="F189" s="10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25"/>
      <c r="E190" s="108"/>
      <c r="F190" s="10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25"/>
      <c r="E191" s="108"/>
      <c r="F191" s="10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25"/>
      <c r="E192" s="108"/>
      <c r="F192" s="10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25"/>
      <c r="E193" s="108"/>
      <c r="F193" s="10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25"/>
      <c r="E194" s="108"/>
      <c r="F194" s="10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25"/>
      <c r="E195" s="108"/>
      <c r="F195" s="10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25"/>
      <c r="E196" s="108"/>
      <c r="F196" s="10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25"/>
      <c r="E197" s="108"/>
      <c r="F197" s="10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25"/>
      <c r="E198" s="108"/>
      <c r="F198" s="10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25"/>
      <c r="E199" s="108"/>
      <c r="F199" s="10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25"/>
      <c r="E200" s="108"/>
      <c r="F200" s="10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25"/>
      <c r="E201" s="108"/>
      <c r="F201" s="10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25"/>
      <c r="E202" s="108"/>
      <c r="F202" s="10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25"/>
      <c r="E203" s="108"/>
      <c r="F203" s="10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25"/>
      <c r="E204" s="108"/>
      <c r="F204" s="10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25"/>
      <c r="E205" s="108"/>
      <c r="F205" s="10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25"/>
      <c r="E206" s="108"/>
      <c r="F206" s="10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25"/>
      <c r="E207" s="108"/>
      <c r="F207" s="10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25"/>
      <c r="E208" s="108"/>
      <c r="F208" s="10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25"/>
      <c r="E209" s="108"/>
      <c r="F209" s="10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25"/>
      <c r="E210" s="108"/>
      <c r="F210" s="10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25"/>
      <c r="E211" s="108"/>
      <c r="F211" s="10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25"/>
      <c r="E212" s="108"/>
      <c r="F212" s="10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25"/>
      <c r="E213" s="108"/>
      <c r="F213" s="10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25"/>
      <c r="E214" s="108"/>
      <c r="F214" s="10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25"/>
      <c r="E215" s="108"/>
      <c r="F215" s="10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25"/>
      <c r="E216" s="108"/>
      <c r="F216" s="10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25"/>
      <c r="E217" s="108"/>
      <c r="F217" s="10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25"/>
      <c r="E218" s="108"/>
      <c r="F218" s="10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25"/>
      <c r="E219" s="108"/>
      <c r="F219" s="10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25"/>
      <c r="E220" s="108"/>
      <c r="F220" s="10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25"/>
      <c r="E221" s="108"/>
      <c r="F221" s="10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25"/>
      <c r="E222" s="108"/>
      <c r="F222" s="10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25"/>
      <c r="E223" s="108"/>
      <c r="F223" s="10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25"/>
      <c r="E224" s="108"/>
      <c r="F224" s="10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25"/>
      <c r="E225" s="108"/>
      <c r="F225" s="109"/>
      <c r="G225" s="1"/>
      <c r="H225" s="1"/>
      <c r="I225" s="1"/>
      <c r="J225" s="1"/>
      <c r="K225" s="1"/>
      <c r="L225" s="110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25"/>
      <c r="E226" s="108"/>
      <c r="F226" s="109"/>
      <c r="G226" s="1"/>
      <c r="H226" s="1"/>
      <c r="I226" s="1"/>
      <c r="J226" s="1"/>
      <c r="K226" s="1"/>
      <c r="L226" s="110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25"/>
      <c r="E227" s="108"/>
      <c r="F227" s="109"/>
      <c r="G227" s="1"/>
      <c r="H227" s="1"/>
      <c r="I227" s="1"/>
      <c r="J227" s="1"/>
      <c r="K227" s="1"/>
      <c r="L227" s="110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25"/>
      <c r="E228" s="108"/>
      <c r="F228" s="109"/>
      <c r="G228" s="1"/>
      <c r="H228" s="1"/>
      <c r="I228" s="1"/>
      <c r="J228" s="1"/>
      <c r="K228" s="1"/>
      <c r="L228" s="110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25"/>
      <c r="E229" s="108"/>
      <c r="F229" s="109"/>
      <c r="G229" s="1"/>
      <c r="H229" s="1"/>
      <c r="I229" s="1"/>
      <c r="J229" s="1"/>
      <c r="K229" s="1"/>
      <c r="L229" s="110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25"/>
      <c r="E230" s="108"/>
      <c r="F230" s="109"/>
      <c r="G230" s="1"/>
      <c r="H230" s="1"/>
      <c r="I230" s="1"/>
      <c r="J230" s="1"/>
      <c r="K230" s="1"/>
      <c r="L230" s="110"/>
      <c r="M230" s="111"/>
      <c r="N230" s="112"/>
      <c r="O230" s="113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25"/>
      <c r="E231" s="108"/>
      <c r="F231" s="109"/>
      <c r="G231" s="1"/>
      <c r="H231" s="1"/>
      <c r="I231" s="1"/>
      <c r="J231" s="1"/>
      <c r="K231" s="1"/>
      <c r="L231" s="110"/>
      <c r="M231" s="111"/>
      <c r="N231" s="112"/>
      <c r="O231" s="113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25"/>
      <c r="E232" s="108"/>
      <c r="F232" s="109"/>
      <c r="G232" s="1"/>
      <c r="H232" s="1"/>
      <c r="I232" s="1"/>
      <c r="J232" s="1"/>
      <c r="K232" s="1"/>
      <c r="L232" s="110"/>
      <c r="M232" s="111"/>
      <c r="N232" s="112"/>
      <c r="O232" s="113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25"/>
      <c r="E233" s="108"/>
      <c r="F233" s="109"/>
      <c r="G233" s="1"/>
      <c r="H233" s="1"/>
      <c r="I233" s="1"/>
      <c r="J233" s="1"/>
      <c r="K233" s="1"/>
      <c r="L233" s="110"/>
      <c r="M233" s="111"/>
      <c r="N233" s="112"/>
      <c r="O233" s="113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25"/>
      <c r="E234" s="108"/>
      <c r="F234" s="109"/>
      <c r="G234" s="1"/>
      <c r="H234" s="1"/>
      <c r="I234" s="1"/>
      <c r="J234" s="1"/>
      <c r="K234" s="1"/>
      <c r="L234" s="110"/>
      <c r="M234" s="111"/>
      <c r="N234" s="112"/>
      <c r="O234" s="113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25"/>
      <c r="E235" s="108"/>
      <c r="F235" s="109"/>
      <c r="G235" s="1"/>
      <c r="H235" s="1"/>
      <c r="I235" s="1"/>
      <c r="J235" s="1"/>
      <c r="K235" s="1"/>
      <c r="L235" s="110"/>
      <c r="M235" s="111"/>
      <c r="N235" s="112"/>
      <c r="O235" s="113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25"/>
      <c r="E236" s="108"/>
      <c r="F236" s="109"/>
      <c r="G236" s="1"/>
      <c r="H236" s="1"/>
      <c r="I236" s="1"/>
      <c r="J236" s="1"/>
      <c r="K236" s="1"/>
      <c r="L236" s="110"/>
      <c r="M236" s="111"/>
      <c r="N236" s="112"/>
      <c r="O236" s="113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25"/>
      <c r="E237" s="108"/>
      <c r="F237" s="109"/>
      <c r="G237" s="1"/>
      <c r="H237" s="1"/>
      <c r="I237" s="1"/>
      <c r="J237" s="1"/>
      <c r="K237" s="1"/>
      <c r="L237" s="110"/>
      <c r="M237" s="111"/>
      <c r="N237" s="112"/>
      <c r="O237" s="113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25"/>
      <c r="E238" s="108"/>
      <c r="F238" s="109"/>
      <c r="G238" s="1"/>
      <c r="H238" s="1"/>
      <c r="I238" s="1"/>
      <c r="J238" s="1"/>
      <c r="K238" s="1"/>
      <c r="L238" s="110"/>
      <c r="M238" s="111"/>
      <c r="N238" s="112"/>
      <c r="O238" s="113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25"/>
      <c r="E239" s="108"/>
      <c r="F239" s="109"/>
      <c r="G239" s="1"/>
      <c r="H239" s="1"/>
      <c r="I239" s="1"/>
      <c r="J239" s="1"/>
      <c r="K239" s="1"/>
      <c r="L239" s="110"/>
      <c r="M239" s="111"/>
      <c r="N239" s="112"/>
      <c r="O239" s="113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25"/>
      <c r="E240" s="108"/>
      <c r="F240" s="109"/>
      <c r="G240" s="1"/>
      <c r="H240" s="1"/>
      <c r="I240" s="1"/>
      <c r="J240" s="1"/>
      <c r="K240" s="1"/>
      <c r="L240" s="110"/>
      <c r="M240" s="111"/>
      <c r="N240" s="112"/>
      <c r="O240" s="113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25"/>
      <c r="E241" s="108"/>
      <c r="F241" s="109"/>
      <c r="G241" s="1"/>
      <c r="H241" s="1"/>
      <c r="I241" s="1"/>
      <c r="J241" s="1"/>
      <c r="K241" s="1"/>
      <c r="L241" s="110"/>
      <c r="M241" s="111"/>
      <c r="N241" s="112"/>
      <c r="O241" s="113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25"/>
      <c r="E242" s="108"/>
      <c r="F242" s="109"/>
      <c r="G242" s="1"/>
      <c r="H242" s="1"/>
      <c r="I242" s="1"/>
      <c r="J242" s="1"/>
      <c r="K242" s="1"/>
      <c r="L242" s="110"/>
      <c r="M242" s="111"/>
      <c r="N242" s="112"/>
      <c r="O242" s="113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25"/>
      <c r="E243" s="108"/>
      <c r="F243" s="109"/>
      <c r="G243" s="1"/>
      <c r="H243" s="1"/>
      <c r="I243" s="1"/>
      <c r="J243" s="1"/>
      <c r="K243" s="1"/>
      <c r="L243" s="110"/>
      <c r="M243" s="111"/>
      <c r="N243" s="112"/>
      <c r="O243" s="113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25"/>
      <c r="E244" s="108"/>
      <c r="F244" s="109"/>
      <c r="G244" s="1"/>
      <c r="H244" s="1"/>
      <c r="I244" s="1"/>
      <c r="J244" s="1"/>
      <c r="K244" s="1"/>
      <c r="L244" s="110"/>
      <c r="M244" s="111"/>
      <c r="N244" s="112"/>
      <c r="O244" s="113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25"/>
      <c r="E245" s="108"/>
      <c r="F245" s="109"/>
      <c r="G245" s="1"/>
      <c r="H245" s="1"/>
      <c r="I245" s="1"/>
      <c r="J245" s="1"/>
      <c r="K245" s="1"/>
      <c r="L245" s="110"/>
      <c r="M245" s="111"/>
      <c r="N245" s="112"/>
      <c r="O245" s="113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25"/>
      <c r="E246" s="108"/>
      <c r="F246" s="109"/>
      <c r="G246" s="1"/>
      <c r="H246" s="1"/>
      <c r="I246" s="1"/>
      <c r="J246" s="1"/>
      <c r="K246" s="1"/>
      <c r="L246" s="110"/>
      <c r="M246" s="111"/>
      <c r="N246" s="112"/>
      <c r="O246" s="113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25"/>
      <c r="E247" s="108"/>
      <c r="F247" s="109"/>
      <c r="G247" s="1"/>
      <c r="H247" s="1"/>
      <c r="I247" s="1"/>
      <c r="J247" s="1"/>
      <c r="K247" s="1"/>
      <c r="L247" s="110"/>
      <c r="M247" s="111"/>
      <c r="N247" s="112"/>
      <c r="O247" s="113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25"/>
      <c r="E248" s="108"/>
      <c r="F248" s="109"/>
      <c r="G248" s="1"/>
      <c r="H248" s="1"/>
      <c r="I248" s="1"/>
      <c r="J248" s="1"/>
      <c r="K248" s="1"/>
      <c r="L248" s="110"/>
      <c r="M248" s="111"/>
      <c r="N248" s="112"/>
      <c r="O248" s="113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25"/>
      <c r="E249" s="108"/>
      <c r="F249" s="109"/>
      <c r="G249" s="1"/>
      <c r="H249" s="1"/>
      <c r="I249" s="1"/>
      <c r="J249" s="1"/>
      <c r="K249" s="1"/>
      <c r="L249" s="110"/>
      <c r="M249" s="111"/>
      <c r="N249" s="112"/>
      <c r="O249" s="113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25"/>
      <c r="E250" s="108"/>
      <c r="F250" s="109"/>
      <c r="G250" s="1"/>
      <c r="H250" s="1"/>
      <c r="I250" s="1"/>
      <c r="J250" s="1"/>
      <c r="K250" s="1"/>
      <c r="L250" s="110"/>
      <c r="M250" s="111"/>
      <c r="N250" s="112"/>
      <c r="O250" s="11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25"/>
      <c r="E251" s="108"/>
      <c r="F251" s="109"/>
      <c r="G251" s="1"/>
      <c r="H251" s="1"/>
      <c r="I251" s="1"/>
      <c r="J251" s="1"/>
      <c r="K251" s="1"/>
      <c r="L251" s="110"/>
      <c r="M251" s="111"/>
      <c r="N251" s="112"/>
      <c r="O251" s="11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25"/>
      <c r="E252" s="108"/>
      <c r="F252" s="109"/>
      <c r="G252" s="1"/>
      <c r="H252" s="1"/>
      <c r="I252" s="1"/>
      <c r="J252" s="1"/>
      <c r="K252" s="1"/>
      <c r="L252" s="110"/>
      <c r="M252" s="111"/>
      <c r="N252" s="112"/>
      <c r="O252" s="11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25"/>
      <c r="E253" s="108"/>
      <c r="F253" s="109"/>
      <c r="G253" s="1"/>
      <c r="H253" s="1"/>
      <c r="I253" s="1"/>
      <c r="J253" s="1"/>
      <c r="K253" s="1"/>
      <c r="L253" s="110"/>
      <c r="M253" s="111"/>
      <c r="N253" s="112"/>
      <c r="O253" s="11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25"/>
      <c r="E254" s="108"/>
      <c r="F254" s="109"/>
      <c r="G254" s="1"/>
      <c r="H254" s="1"/>
      <c r="I254" s="1"/>
      <c r="J254" s="1"/>
      <c r="K254" s="1"/>
      <c r="L254" s="110"/>
      <c r="M254" s="111"/>
      <c r="N254" s="112"/>
      <c r="O254" s="11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25"/>
      <c r="E255" s="108"/>
      <c r="F255" s="109"/>
      <c r="G255" s="1"/>
      <c r="H255" s="1"/>
      <c r="I255" s="1"/>
      <c r="J255" s="1"/>
      <c r="K255" s="1"/>
      <c r="L255" s="110"/>
      <c r="M255" s="111"/>
      <c r="N255" s="112"/>
      <c r="O255" s="11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25"/>
      <c r="E256" s="108"/>
      <c r="F256" s="109"/>
      <c r="G256" s="1"/>
      <c r="H256" s="1"/>
      <c r="I256" s="1"/>
      <c r="J256" s="1"/>
      <c r="K256" s="1"/>
      <c r="L256" s="110"/>
      <c r="M256" s="111"/>
      <c r="N256" s="112"/>
      <c r="O256" s="11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25"/>
      <c r="E257" s="108"/>
      <c r="F257" s="109"/>
      <c r="G257" s="1"/>
      <c r="H257" s="1"/>
      <c r="I257" s="1"/>
      <c r="J257" s="1"/>
      <c r="K257" s="1"/>
      <c r="L257" s="110"/>
      <c r="M257" s="111"/>
      <c r="N257" s="112"/>
      <c r="O257" s="11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25"/>
      <c r="E258" s="108"/>
      <c r="F258" s="109"/>
      <c r="G258" s="1"/>
      <c r="H258" s="1"/>
      <c r="I258" s="1"/>
      <c r="J258" s="1"/>
      <c r="K258" s="1"/>
      <c r="L258" s="110"/>
      <c r="M258" s="111"/>
      <c r="N258" s="112"/>
      <c r="O258" s="11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25"/>
      <c r="E259" s="108"/>
      <c r="F259" s="109"/>
      <c r="G259" s="1"/>
      <c r="H259" s="1"/>
      <c r="I259" s="1"/>
      <c r="J259" s="1"/>
      <c r="K259" s="1"/>
      <c r="L259" s="110"/>
      <c r="M259" s="111"/>
      <c r="N259" s="112"/>
      <c r="O259" s="11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25"/>
      <c r="E260" s="108"/>
      <c r="F260" s="109"/>
      <c r="G260" s="1"/>
      <c r="H260" s="1"/>
      <c r="I260" s="1"/>
      <c r="J260" s="1"/>
      <c r="K260" s="1"/>
      <c r="L260" s="110"/>
      <c r="M260" s="111"/>
      <c r="N260" s="112"/>
      <c r="O260" s="11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25"/>
      <c r="E261" s="108"/>
      <c r="F261" s="109"/>
      <c r="G261" s="1"/>
      <c r="H261" s="1"/>
      <c r="I261" s="1"/>
      <c r="J261" s="1"/>
      <c r="K261" s="1"/>
      <c r="L261" s="110"/>
      <c r="M261" s="111"/>
      <c r="N261" s="112"/>
      <c r="O261" s="11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25"/>
      <c r="E262" s="108"/>
      <c r="F262" s="109"/>
      <c r="G262" s="1"/>
      <c r="H262" s="1"/>
      <c r="I262" s="1"/>
      <c r="J262" s="1"/>
      <c r="K262" s="1"/>
      <c r="L262" s="110"/>
      <c r="M262" s="111"/>
      <c r="N262" s="112"/>
      <c r="O262" s="11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25"/>
      <c r="E263" s="108"/>
      <c r="F263" s="109"/>
      <c r="G263" s="1"/>
      <c r="H263" s="1"/>
      <c r="I263" s="1"/>
      <c r="J263" s="1"/>
      <c r="K263" s="1"/>
      <c r="L263" s="110"/>
      <c r="M263" s="111"/>
      <c r="N263" s="112"/>
      <c r="O263" s="11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25"/>
      <c r="E264" s="108"/>
      <c r="F264" s="109"/>
      <c r="G264" s="1"/>
      <c r="H264" s="1"/>
      <c r="I264" s="1"/>
      <c r="J264" s="1"/>
      <c r="K264" s="1"/>
      <c r="L264" s="110"/>
      <c r="M264" s="111"/>
      <c r="N264" s="112"/>
      <c r="O264" s="11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25"/>
      <c r="E265" s="108"/>
      <c r="F265" s="109"/>
      <c r="G265" s="1"/>
      <c r="H265" s="1"/>
      <c r="I265" s="1"/>
      <c r="J265" s="1"/>
      <c r="K265" s="1"/>
      <c r="L265" s="110"/>
      <c r="M265" s="111"/>
      <c r="N265" s="112"/>
      <c r="O265" s="11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25"/>
      <c r="E266" s="108"/>
      <c r="F266" s="109"/>
      <c r="G266" s="1"/>
      <c r="H266" s="1"/>
      <c r="I266" s="1"/>
      <c r="J266" s="1"/>
      <c r="K266" s="1"/>
      <c r="L266" s="110"/>
      <c r="M266" s="111"/>
      <c r="N266" s="112"/>
      <c r="O266" s="11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25"/>
      <c r="E267" s="108"/>
      <c r="F267" s="109"/>
      <c r="G267" s="1"/>
      <c r="H267" s="1"/>
      <c r="I267" s="1"/>
      <c r="J267" s="1"/>
      <c r="K267" s="1"/>
      <c r="L267" s="110"/>
      <c r="M267" s="111"/>
      <c r="N267" s="112"/>
      <c r="O267" s="11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25"/>
      <c r="E268" s="108"/>
      <c r="F268" s="109"/>
      <c r="G268" s="1"/>
      <c r="H268" s="1"/>
      <c r="I268" s="1"/>
      <c r="J268" s="1"/>
      <c r="K268" s="1"/>
      <c r="L268" s="110"/>
      <c r="M268" s="111"/>
      <c r="N268" s="112"/>
      <c r="O268" s="11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25"/>
      <c r="E269" s="108"/>
      <c r="F269" s="109"/>
      <c r="G269" s="1"/>
      <c r="H269" s="1"/>
      <c r="I269" s="1"/>
      <c r="J269" s="1"/>
      <c r="K269" s="1"/>
      <c r="L269" s="110"/>
      <c r="M269" s="111"/>
      <c r="N269" s="112"/>
      <c r="O269" s="11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25"/>
      <c r="E270" s="108"/>
      <c r="F270" s="109"/>
      <c r="G270" s="1"/>
      <c r="H270" s="1"/>
      <c r="I270" s="1"/>
      <c r="J270" s="1"/>
      <c r="K270" s="1"/>
      <c r="L270" s="110"/>
      <c r="M270" s="111"/>
      <c r="N270" s="112"/>
      <c r="O270" s="11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25"/>
      <c r="E271" s="108"/>
      <c r="F271" s="109"/>
      <c r="G271" s="1"/>
      <c r="H271" s="1"/>
      <c r="I271" s="1"/>
      <c r="J271" s="1"/>
      <c r="K271" s="1"/>
      <c r="L271" s="110"/>
      <c r="M271" s="111"/>
      <c r="N271" s="112"/>
      <c r="O271" s="11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25"/>
      <c r="E272" s="108"/>
      <c r="F272" s="109"/>
      <c r="G272" s="1"/>
      <c r="H272" s="1"/>
      <c r="I272" s="1"/>
      <c r="J272" s="1"/>
      <c r="K272" s="1"/>
      <c r="L272" s="110"/>
      <c r="M272" s="111"/>
      <c r="N272" s="112"/>
      <c r="O272" s="11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25"/>
      <c r="E273" s="108"/>
      <c r="F273" s="109"/>
      <c r="G273" s="1"/>
      <c r="H273" s="1"/>
      <c r="I273" s="1"/>
      <c r="J273" s="1"/>
      <c r="K273" s="1"/>
      <c r="L273" s="110"/>
      <c r="M273" s="111"/>
      <c r="N273" s="112"/>
      <c r="O273" s="11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25"/>
      <c r="E274" s="108"/>
      <c r="F274" s="109"/>
      <c r="G274" s="1"/>
      <c r="H274" s="1"/>
      <c r="I274" s="1"/>
      <c r="J274" s="1"/>
      <c r="K274" s="1"/>
      <c r="L274" s="110"/>
      <c r="M274" s="111"/>
      <c r="N274" s="112"/>
      <c r="O274" s="11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25"/>
      <c r="E275" s="108"/>
      <c r="F275" s="109"/>
      <c r="G275" s="1"/>
      <c r="H275" s="1"/>
      <c r="I275" s="1"/>
      <c r="J275" s="1"/>
      <c r="K275" s="1"/>
      <c r="L275" s="110"/>
      <c r="M275" s="111"/>
      <c r="N275" s="112"/>
      <c r="O275" s="11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25"/>
      <c r="E276" s="108"/>
      <c r="F276" s="109"/>
      <c r="G276" s="1"/>
      <c r="H276" s="1"/>
      <c r="I276" s="1"/>
      <c r="J276" s="1"/>
      <c r="K276" s="1"/>
      <c r="L276" s="110"/>
      <c r="M276" s="111"/>
      <c r="N276" s="112"/>
      <c r="O276" s="11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25"/>
      <c r="E277" s="108"/>
      <c r="F277" s="109"/>
      <c r="G277" s="1"/>
      <c r="H277" s="1"/>
      <c r="I277" s="1"/>
      <c r="J277" s="1"/>
      <c r="K277" s="1"/>
      <c r="L277" s="110"/>
      <c r="M277" s="111"/>
      <c r="N277" s="112"/>
      <c r="O277" s="11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25"/>
      <c r="E278" s="108"/>
      <c r="F278" s="109"/>
      <c r="G278" s="1"/>
      <c r="H278" s="1"/>
      <c r="I278" s="1"/>
      <c r="J278" s="1"/>
      <c r="K278" s="1"/>
      <c r="L278" s="110"/>
      <c r="M278" s="111"/>
      <c r="N278" s="112"/>
      <c r="O278" s="11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25"/>
      <c r="E279" s="108"/>
      <c r="F279" s="109"/>
      <c r="G279" s="1"/>
      <c r="H279" s="1"/>
      <c r="I279" s="1"/>
      <c r="J279" s="1"/>
      <c r="K279" s="1"/>
      <c r="L279" s="110"/>
      <c r="M279" s="111"/>
      <c r="N279" s="112"/>
      <c r="O279" s="11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25"/>
      <c r="E280" s="108"/>
      <c r="F280" s="109"/>
      <c r="G280" s="1"/>
      <c r="H280" s="1"/>
      <c r="I280" s="1"/>
      <c r="J280" s="1"/>
      <c r="K280" s="1"/>
      <c r="L280" s="110"/>
      <c r="M280" s="111"/>
      <c r="N280" s="112"/>
      <c r="O280" s="11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25"/>
      <c r="E281" s="108"/>
      <c r="F281" s="109"/>
      <c r="G281" s="1"/>
      <c r="H281" s="1"/>
      <c r="I281" s="1"/>
      <c r="J281" s="1"/>
      <c r="K281" s="1"/>
      <c r="L281" s="110"/>
      <c r="M281" s="111"/>
      <c r="N281" s="112"/>
      <c r="O281" s="11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25"/>
      <c r="E282" s="108"/>
      <c r="F282" s="109"/>
      <c r="G282" s="1"/>
      <c r="H282" s="1"/>
      <c r="I282" s="1"/>
      <c r="J282" s="1"/>
      <c r="K282" s="1"/>
      <c r="L282" s="110"/>
      <c r="M282" s="111"/>
      <c r="N282" s="112"/>
      <c r="O282" s="113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25"/>
      <c r="E283" s="108"/>
      <c r="F283" s="109"/>
      <c r="G283" s="1"/>
      <c r="H283" s="1"/>
      <c r="I283" s="1"/>
      <c r="J283" s="1"/>
      <c r="K283" s="1"/>
      <c r="L283" s="110"/>
      <c r="M283" s="111"/>
      <c r="N283" s="112"/>
      <c r="O283" s="113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25"/>
      <c r="E284" s="108"/>
      <c r="F284" s="109"/>
      <c r="G284" s="1"/>
      <c r="H284" s="1"/>
      <c r="I284" s="1"/>
      <c r="J284" s="1"/>
      <c r="K284" s="1"/>
      <c r="L284" s="110"/>
      <c r="M284" s="111"/>
      <c r="N284" s="112"/>
      <c r="O284" s="113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25"/>
      <c r="E285" s="108"/>
      <c r="F285" s="109"/>
      <c r="G285" s="1"/>
      <c r="H285" s="1"/>
      <c r="I285" s="1"/>
      <c r="J285" s="1"/>
      <c r="K285" s="1"/>
      <c r="L285" s="110"/>
      <c r="M285" s="111"/>
      <c r="N285" s="112"/>
      <c r="O285" s="113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25"/>
      <c r="E286" s="108"/>
      <c r="F286" s="109"/>
      <c r="G286" s="1"/>
      <c r="H286" s="1"/>
      <c r="I286" s="1"/>
      <c r="J286" s="1"/>
      <c r="K286" s="1"/>
      <c r="L286" s="110"/>
      <c r="M286" s="111"/>
      <c r="N286" s="112"/>
      <c r="O286" s="113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25"/>
      <c r="E287" s="108"/>
      <c r="F287" s="109"/>
      <c r="G287" s="1"/>
      <c r="H287" s="1"/>
      <c r="I287" s="1"/>
      <c r="J287" s="1"/>
      <c r="K287" s="1"/>
      <c r="L287" s="110"/>
      <c r="M287" s="111"/>
      <c r="N287" s="112"/>
      <c r="O287" s="113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25"/>
      <c r="E288" s="108"/>
      <c r="F288" s="109"/>
      <c r="G288" s="1"/>
      <c r="H288" s="1"/>
      <c r="I288" s="1"/>
      <c r="J288" s="1"/>
      <c r="K288" s="1"/>
      <c r="L288" s="110"/>
      <c r="M288" s="111"/>
      <c r="N288" s="112"/>
      <c r="O288" s="113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25"/>
      <c r="E289" s="108"/>
      <c r="F289" s="109"/>
      <c r="G289" s="1"/>
      <c r="H289" s="1"/>
      <c r="I289" s="1"/>
      <c r="J289" s="1"/>
      <c r="K289" s="1"/>
      <c r="L289" s="110"/>
      <c r="M289" s="111"/>
      <c r="N289" s="112"/>
      <c r="O289" s="113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25"/>
      <c r="E290" s="108"/>
      <c r="F290" s="109"/>
      <c r="G290" s="1"/>
      <c r="H290" s="1"/>
      <c r="I290" s="1"/>
      <c r="J290" s="1"/>
      <c r="K290" s="1"/>
      <c r="L290" s="110"/>
      <c r="M290" s="111"/>
      <c r="N290" s="112"/>
      <c r="O290" s="113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25"/>
      <c r="E291" s="108"/>
      <c r="F291" s="109"/>
      <c r="G291" s="1"/>
      <c r="H291" s="1"/>
      <c r="I291" s="1"/>
      <c r="J291" s="1"/>
      <c r="K291" s="1"/>
      <c r="L291" s="110"/>
      <c r="M291" s="111"/>
      <c r="N291" s="112"/>
      <c r="O291" s="11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25"/>
      <c r="E292" s="108"/>
      <c r="F292" s="109"/>
      <c r="G292" s="1"/>
      <c r="H292" s="1"/>
      <c r="I292" s="1"/>
      <c r="J292" s="1"/>
      <c r="K292" s="1"/>
      <c r="L292" s="110"/>
      <c r="M292" s="111"/>
      <c r="N292" s="112"/>
      <c r="O292" s="11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25"/>
      <c r="E293" s="108"/>
      <c r="F293" s="109"/>
      <c r="G293" s="1"/>
      <c r="H293" s="1"/>
      <c r="I293" s="1"/>
      <c r="J293" s="1"/>
      <c r="K293" s="1"/>
      <c r="L293" s="110"/>
      <c r="M293" s="111"/>
      <c r="N293" s="112"/>
      <c r="O293" s="11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25"/>
      <c r="E294" s="108"/>
      <c r="F294" s="109"/>
      <c r="G294" s="1"/>
      <c r="H294" s="1"/>
      <c r="I294" s="1"/>
      <c r="J294" s="1"/>
      <c r="K294" s="1"/>
      <c r="L294" s="110"/>
      <c r="M294" s="111"/>
      <c r="N294" s="112"/>
      <c r="O294" s="11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25"/>
      <c r="E295" s="108"/>
      <c r="F295" s="109"/>
      <c r="G295" s="1"/>
      <c r="H295" s="1"/>
      <c r="I295" s="1"/>
      <c r="J295" s="1"/>
      <c r="K295" s="1"/>
      <c r="L295" s="110"/>
      <c r="M295" s="111"/>
      <c r="N295" s="112"/>
      <c r="O295" s="11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25"/>
      <c r="E296" s="108"/>
      <c r="F296" s="109"/>
      <c r="G296" s="1"/>
      <c r="H296" s="1"/>
      <c r="I296" s="1"/>
      <c r="J296" s="1"/>
      <c r="K296" s="1"/>
      <c r="L296" s="110"/>
      <c r="M296" s="111"/>
      <c r="N296" s="112"/>
      <c r="O296" s="11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25"/>
      <c r="E297" s="108"/>
      <c r="F297" s="109"/>
      <c r="G297" s="1"/>
      <c r="H297" s="1"/>
      <c r="I297" s="1"/>
      <c r="J297" s="1"/>
      <c r="K297" s="1"/>
      <c r="L297" s="110"/>
      <c r="M297" s="111"/>
      <c r="N297" s="112"/>
      <c r="O297" s="11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25"/>
      <c r="E298" s="108"/>
      <c r="F298" s="109"/>
      <c r="G298" s="1"/>
      <c r="H298" s="1"/>
      <c r="I298" s="1"/>
      <c r="J298" s="1"/>
      <c r="K298" s="1"/>
      <c r="L298" s="110"/>
      <c r="M298" s="111"/>
      <c r="N298" s="112"/>
      <c r="O298" s="11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25"/>
      <c r="E299" s="108"/>
      <c r="F299" s="109"/>
      <c r="G299" s="1"/>
      <c r="H299" s="1"/>
      <c r="I299" s="1"/>
      <c r="J299" s="1"/>
      <c r="K299" s="1"/>
      <c r="L299" s="110"/>
      <c r="M299" s="111"/>
      <c r="N299" s="112"/>
      <c r="O299" s="11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25"/>
      <c r="E300" s="108"/>
      <c r="F300" s="109"/>
      <c r="G300" s="1"/>
      <c r="H300" s="1"/>
      <c r="I300" s="1"/>
      <c r="J300" s="1"/>
      <c r="K300" s="1"/>
      <c r="L300" s="110"/>
      <c r="M300" s="111"/>
      <c r="N300" s="112"/>
      <c r="O300" s="11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25"/>
      <c r="E301" s="108"/>
      <c r="F301" s="109"/>
      <c r="G301" s="1"/>
      <c r="H301" s="1"/>
      <c r="I301" s="1"/>
      <c r="J301" s="1"/>
      <c r="K301" s="1"/>
      <c r="L301" s="110"/>
      <c r="M301" s="111"/>
      <c r="N301" s="112"/>
      <c r="O301" s="11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25"/>
      <c r="E302" s="108"/>
      <c r="F302" s="109"/>
      <c r="G302" s="1"/>
      <c r="H302" s="1"/>
      <c r="I302" s="1"/>
      <c r="J302" s="1"/>
      <c r="K302" s="1"/>
      <c r="L302" s="110"/>
      <c r="M302" s="111"/>
      <c r="N302" s="112"/>
      <c r="O302" s="11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25"/>
      <c r="E303" s="108"/>
      <c r="F303" s="109"/>
      <c r="G303" s="1"/>
      <c r="H303" s="1"/>
      <c r="I303" s="1"/>
      <c r="J303" s="1"/>
      <c r="K303" s="1"/>
      <c r="L303" s="110"/>
      <c r="M303" s="111"/>
      <c r="N303" s="112"/>
      <c r="O303" s="11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25"/>
      <c r="E304" s="108"/>
      <c r="F304" s="109"/>
      <c r="G304" s="1"/>
      <c r="H304" s="1"/>
      <c r="I304" s="1"/>
      <c r="J304" s="1"/>
      <c r="K304" s="1"/>
      <c r="L304" s="110"/>
      <c r="M304" s="111"/>
      <c r="N304" s="112"/>
      <c r="O304" s="11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25"/>
      <c r="E305" s="108"/>
      <c r="F305" s="109"/>
      <c r="G305" s="1"/>
      <c r="H305" s="1"/>
      <c r="I305" s="1"/>
      <c r="J305" s="1"/>
      <c r="K305" s="1"/>
      <c r="L305" s="110"/>
      <c r="M305" s="111"/>
      <c r="N305" s="112"/>
      <c r="O305" s="11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25"/>
      <c r="E306" s="108"/>
      <c r="F306" s="109"/>
      <c r="G306" s="1"/>
      <c r="H306" s="1"/>
      <c r="I306" s="1"/>
      <c r="J306" s="1"/>
      <c r="K306" s="1"/>
      <c r="L306" s="110"/>
      <c r="M306" s="111"/>
      <c r="N306" s="112"/>
      <c r="O306" s="11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25"/>
      <c r="E307" s="108"/>
      <c r="F307" s="109"/>
      <c r="G307" s="1"/>
      <c r="H307" s="1"/>
      <c r="I307" s="1"/>
      <c r="J307" s="1"/>
      <c r="K307" s="1"/>
      <c r="L307" s="110"/>
      <c r="M307" s="111"/>
      <c r="N307" s="112"/>
      <c r="O307" s="11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25"/>
      <c r="E308" s="108"/>
      <c r="F308" s="109"/>
      <c r="G308" s="1"/>
      <c r="H308" s="1"/>
      <c r="I308" s="1"/>
      <c r="J308" s="1"/>
      <c r="K308" s="1"/>
      <c r="L308" s="110"/>
      <c r="M308" s="111"/>
      <c r="N308" s="112"/>
      <c r="O308" s="11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25"/>
      <c r="E309" s="108"/>
      <c r="F309" s="109"/>
      <c r="G309" s="1"/>
      <c r="H309" s="1"/>
      <c r="I309" s="1"/>
      <c r="J309" s="1"/>
      <c r="K309" s="1"/>
      <c r="L309" s="110"/>
      <c r="M309" s="111"/>
      <c r="N309" s="112"/>
      <c r="O309" s="11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25"/>
      <c r="E310" s="108"/>
      <c r="F310" s="109"/>
      <c r="G310" s="1"/>
      <c r="H310" s="1"/>
      <c r="I310" s="1"/>
      <c r="J310" s="1"/>
      <c r="K310" s="1"/>
      <c r="L310" s="110"/>
      <c r="M310" s="111"/>
      <c r="N310" s="112"/>
      <c r="O310" s="11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25"/>
      <c r="E311" s="108"/>
      <c r="F311" s="109"/>
      <c r="G311" s="1"/>
      <c r="H311" s="1"/>
      <c r="I311" s="1"/>
      <c r="J311" s="1"/>
      <c r="K311" s="1"/>
      <c r="L311" s="110"/>
      <c r="M311" s="111"/>
      <c r="N311" s="112"/>
      <c r="O311" s="11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25"/>
      <c r="E312" s="108"/>
      <c r="F312" s="109"/>
      <c r="G312" s="1"/>
      <c r="H312" s="1"/>
      <c r="I312" s="1"/>
      <c r="J312" s="1"/>
      <c r="K312" s="1"/>
      <c r="L312" s="110"/>
      <c r="M312" s="111"/>
      <c r="N312" s="112"/>
      <c r="O312" s="11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25"/>
      <c r="E313" s="108"/>
      <c r="F313" s="109"/>
      <c r="G313" s="1"/>
      <c r="H313" s="1"/>
      <c r="I313" s="1"/>
      <c r="J313" s="1"/>
      <c r="K313" s="1"/>
      <c r="L313" s="110"/>
      <c r="M313" s="111"/>
      <c r="N313" s="112"/>
      <c r="O313" s="11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25"/>
      <c r="E314" s="108"/>
      <c r="F314" s="109"/>
      <c r="G314" s="1"/>
      <c r="H314" s="1"/>
      <c r="I314" s="1"/>
      <c r="J314" s="1"/>
      <c r="K314" s="1"/>
      <c r="L314" s="110"/>
      <c r="M314" s="111"/>
      <c r="N314" s="112"/>
      <c r="O314" s="11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25"/>
      <c r="E315" s="108"/>
      <c r="F315" s="109"/>
      <c r="G315" s="1"/>
      <c r="H315" s="1"/>
      <c r="I315" s="1"/>
      <c r="J315" s="1"/>
      <c r="K315" s="1"/>
      <c r="L315" s="110"/>
      <c r="M315" s="111"/>
      <c r="N315" s="112"/>
      <c r="O315" s="11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25"/>
      <c r="E316" s="108"/>
      <c r="F316" s="109"/>
      <c r="G316" s="1"/>
      <c r="H316" s="1"/>
      <c r="I316" s="1"/>
      <c r="J316" s="1"/>
      <c r="K316" s="1"/>
      <c r="L316" s="110"/>
      <c r="M316" s="111"/>
      <c r="N316" s="112"/>
      <c r="O316" s="11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25"/>
      <c r="E317" s="108"/>
      <c r="F317" s="109"/>
      <c r="G317" s="1"/>
      <c r="H317" s="1"/>
      <c r="I317" s="1"/>
      <c r="J317" s="1"/>
      <c r="K317" s="1"/>
      <c r="L317" s="110"/>
      <c r="M317" s="111"/>
      <c r="N317" s="112"/>
      <c r="O317" s="11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25"/>
      <c r="E318" s="108"/>
      <c r="F318" s="109"/>
      <c r="G318" s="1"/>
      <c r="H318" s="1"/>
      <c r="I318" s="1"/>
      <c r="J318" s="1"/>
      <c r="K318" s="1"/>
      <c r="L318" s="110"/>
      <c r="M318" s="111"/>
      <c r="N318" s="112"/>
      <c r="O318" s="11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25"/>
      <c r="E319" s="108"/>
      <c r="F319" s="109"/>
      <c r="G319" s="1"/>
      <c r="H319" s="1"/>
      <c r="I319" s="1"/>
      <c r="J319" s="1"/>
      <c r="K319" s="1"/>
      <c r="L319" s="110"/>
      <c r="M319" s="111"/>
      <c r="N319" s="112"/>
      <c r="O319" s="11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25"/>
      <c r="E320" s="108"/>
      <c r="F320" s="109"/>
      <c r="G320" s="1"/>
      <c r="H320" s="1"/>
      <c r="I320" s="1"/>
      <c r="J320" s="1"/>
      <c r="K320" s="1"/>
      <c r="L320" s="110"/>
      <c r="M320" s="111"/>
      <c r="N320" s="112"/>
      <c r="O320" s="11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25"/>
      <c r="E321" s="108"/>
      <c r="F321" s="109"/>
      <c r="G321" s="1"/>
      <c r="H321" s="1"/>
      <c r="I321" s="1"/>
      <c r="J321" s="1"/>
      <c r="K321" s="1"/>
      <c r="L321" s="110"/>
      <c r="M321" s="111"/>
      <c r="N321" s="112"/>
      <c r="O321" s="11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25"/>
      <c r="E322" s="108"/>
      <c r="F322" s="109"/>
      <c r="G322" s="1"/>
      <c r="H322" s="1"/>
      <c r="I322" s="1"/>
      <c r="J322" s="1"/>
      <c r="K322" s="1"/>
      <c r="L322" s="110"/>
      <c r="M322" s="111"/>
      <c r="N322" s="112"/>
      <c r="O322" s="11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25"/>
      <c r="E323" s="108"/>
      <c r="F323" s="109"/>
      <c r="G323" s="1"/>
      <c r="H323" s="1"/>
      <c r="I323" s="1"/>
      <c r="J323" s="1"/>
      <c r="K323" s="1"/>
      <c r="L323" s="110"/>
      <c r="M323" s="111"/>
      <c r="N323" s="112"/>
      <c r="O323" s="11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25"/>
      <c r="E324" s="108"/>
      <c r="F324" s="109"/>
      <c r="G324" s="1"/>
      <c r="H324" s="1"/>
      <c r="I324" s="1"/>
      <c r="J324" s="1"/>
      <c r="K324" s="1"/>
      <c r="L324" s="110"/>
      <c r="M324" s="111"/>
      <c r="N324" s="112"/>
      <c r="O324" s="11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25"/>
      <c r="E325" s="108"/>
      <c r="F325" s="109"/>
      <c r="G325" s="1"/>
      <c r="H325" s="1"/>
      <c r="I325" s="1"/>
      <c r="J325" s="1"/>
      <c r="K325" s="1"/>
      <c r="L325" s="110"/>
      <c r="M325" s="111"/>
      <c r="N325" s="112"/>
      <c r="O325" s="11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25"/>
      <c r="E326" s="108"/>
      <c r="F326" s="109"/>
      <c r="G326" s="1"/>
      <c r="H326" s="1"/>
      <c r="I326" s="1"/>
      <c r="J326" s="1"/>
      <c r="K326" s="1"/>
      <c r="L326" s="110"/>
      <c r="M326" s="111"/>
      <c r="N326" s="112"/>
      <c r="O326" s="11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25"/>
      <c r="E327" s="108"/>
      <c r="F327" s="109"/>
      <c r="G327" s="1"/>
      <c r="H327" s="1"/>
      <c r="I327" s="1"/>
      <c r="J327" s="1"/>
      <c r="K327" s="1"/>
      <c r="L327" s="110"/>
      <c r="M327" s="111"/>
      <c r="N327" s="112"/>
      <c r="O327" s="11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25"/>
      <c r="E328" s="108"/>
      <c r="F328" s="109"/>
      <c r="G328" s="1"/>
      <c r="H328" s="1"/>
      <c r="I328" s="1"/>
      <c r="J328" s="1"/>
      <c r="K328" s="1"/>
      <c r="L328" s="110"/>
      <c r="M328" s="111"/>
      <c r="N328" s="112"/>
      <c r="O328" s="11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25"/>
      <c r="E329" s="108"/>
      <c r="F329" s="109"/>
      <c r="G329" s="1"/>
      <c r="H329" s="1"/>
      <c r="I329" s="1"/>
      <c r="J329" s="1"/>
      <c r="K329" s="1"/>
      <c r="L329" s="110"/>
      <c r="M329" s="111"/>
      <c r="N329" s="112"/>
      <c r="O329" s="11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25"/>
      <c r="E330" s="108"/>
      <c r="F330" s="109"/>
      <c r="G330" s="1"/>
      <c r="H330" s="1"/>
      <c r="I330" s="1"/>
      <c r="J330" s="1"/>
      <c r="K330" s="1"/>
      <c r="L330" s="110"/>
      <c r="M330" s="111"/>
      <c r="N330" s="112"/>
      <c r="O330" s="11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25"/>
      <c r="E331" s="108"/>
      <c r="F331" s="109"/>
      <c r="G331" s="1"/>
      <c r="H331" s="1"/>
      <c r="I331" s="1"/>
      <c r="J331" s="1"/>
      <c r="K331" s="1"/>
      <c r="L331" s="110"/>
      <c r="M331" s="111"/>
      <c r="N331" s="112"/>
      <c r="O331" s="11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25"/>
      <c r="E332" s="108"/>
      <c r="F332" s="109"/>
      <c r="G332" s="1"/>
      <c r="H332" s="1"/>
      <c r="I332" s="1"/>
      <c r="J332" s="1"/>
      <c r="K332" s="1"/>
      <c r="L332" s="110"/>
      <c r="M332" s="111"/>
      <c r="N332" s="112"/>
      <c r="O332" s="11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25"/>
      <c r="E333" s="108"/>
      <c r="F333" s="109"/>
      <c r="G333" s="1"/>
      <c r="H333" s="1"/>
      <c r="I333" s="1"/>
      <c r="J333" s="1"/>
      <c r="K333" s="1"/>
      <c r="L333" s="110"/>
      <c r="M333" s="111"/>
      <c r="N333" s="112"/>
      <c r="O333" s="11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25"/>
      <c r="E334" s="108"/>
      <c r="F334" s="109"/>
      <c r="G334" s="1"/>
      <c r="H334" s="1"/>
      <c r="I334" s="1"/>
      <c r="J334" s="1"/>
      <c r="K334" s="1"/>
      <c r="L334" s="110"/>
      <c r="M334" s="111"/>
      <c r="N334" s="112"/>
      <c r="O334" s="11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25"/>
      <c r="E335" s="108"/>
      <c r="F335" s="109"/>
      <c r="G335" s="1"/>
      <c r="H335" s="1"/>
      <c r="I335" s="1"/>
      <c r="J335" s="1"/>
      <c r="K335" s="1"/>
      <c r="L335" s="110"/>
      <c r="M335" s="111"/>
      <c r="N335" s="112"/>
      <c r="O335" s="11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25"/>
      <c r="E336" s="108"/>
      <c r="F336" s="109"/>
      <c r="G336" s="1"/>
      <c r="H336" s="1"/>
      <c r="I336" s="1"/>
      <c r="J336" s="1"/>
      <c r="K336" s="1"/>
      <c r="L336" s="110"/>
      <c r="M336" s="111"/>
      <c r="N336" s="112"/>
      <c r="O336" s="11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25"/>
      <c r="E337" s="108"/>
      <c r="F337" s="109"/>
      <c r="G337" s="1"/>
      <c r="H337" s="1"/>
      <c r="I337" s="1"/>
      <c r="J337" s="1"/>
      <c r="K337" s="1"/>
      <c r="L337" s="110"/>
      <c r="M337" s="111"/>
      <c r="N337" s="112"/>
      <c r="O337" s="11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25"/>
      <c r="E338" s="108"/>
      <c r="F338" s="109"/>
      <c r="G338" s="1"/>
      <c r="H338" s="1"/>
      <c r="I338" s="1"/>
      <c r="J338" s="1"/>
      <c r="K338" s="1"/>
      <c r="L338" s="110"/>
      <c r="M338" s="111"/>
      <c r="N338" s="112"/>
      <c r="O338" s="11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25"/>
      <c r="E339" s="108"/>
      <c r="F339" s="109"/>
      <c r="G339" s="1"/>
      <c r="H339" s="1"/>
      <c r="I339" s="1"/>
      <c r="J339" s="1"/>
      <c r="K339" s="1"/>
      <c r="L339" s="110"/>
      <c r="M339" s="111"/>
      <c r="N339" s="112"/>
      <c r="O339" s="11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D340" s="4"/>
      <c r="E340" s="114"/>
      <c r="F340" s="109"/>
      <c r="H340" s="1"/>
      <c r="I340" s="1"/>
      <c r="L340" s="110"/>
      <c r="M340" s="111"/>
      <c r="N340" s="112"/>
      <c r="O340" s="113"/>
      <c r="Q340" s="1"/>
      <c r="R340" s="1"/>
      <c r="S340" s="1"/>
      <c r="T340" s="1"/>
      <c r="U340" s="1"/>
      <c r="V340" s="1"/>
    </row>
    <row r="341">
      <c r="D341" s="4"/>
      <c r="E341" s="114"/>
      <c r="F341" s="109"/>
      <c r="H341" s="1"/>
      <c r="I341" s="1"/>
      <c r="L341" s="110"/>
      <c r="M341" s="111"/>
      <c r="N341" s="112"/>
      <c r="O341" s="113"/>
      <c r="Q341" s="1"/>
      <c r="R341" s="1"/>
      <c r="S341" s="1"/>
      <c r="T341" s="1"/>
      <c r="U341" s="1"/>
      <c r="V341" s="1"/>
    </row>
    <row r="342">
      <c r="D342" s="4"/>
      <c r="E342" s="114"/>
      <c r="F342" s="109"/>
      <c r="H342" s="1"/>
      <c r="I342" s="1"/>
      <c r="L342" s="110"/>
      <c r="M342" s="111"/>
      <c r="N342" s="112"/>
      <c r="O342" s="113"/>
      <c r="Q342" s="1"/>
      <c r="R342" s="1"/>
      <c r="S342" s="1"/>
      <c r="T342" s="1"/>
      <c r="U342" s="1"/>
      <c r="V342" s="1"/>
    </row>
    <row r="343">
      <c r="D343" s="4"/>
      <c r="E343" s="114"/>
      <c r="F343" s="109"/>
      <c r="H343" s="1"/>
      <c r="I343" s="1"/>
      <c r="L343" s="110"/>
      <c r="M343" s="111"/>
      <c r="N343" s="112"/>
      <c r="O343" s="113"/>
      <c r="Q343" s="1"/>
      <c r="R343" s="1"/>
      <c r="S343" s="1"/>
      <c r="T343" s="1"/>
      <c r="U343" s="1"/>
      <c r="V343" s="1"/>
    </row>
    <row r="344">
      <c r="D344" s="4"/>
      <c r="E344" s="114"/>
      <c r="F344" s="109"/>
      <c r="H344" s="1"/>
      <c r="I344" s="1"/>
      <c r="L344" s="110"/>
      <c r="M344" s="111"/>
      <c r="N344" s="112"/>
      <c r="O344" s="113"/>
      <c r="Q344" s="1"/>
      <c r="R344" s="1"/>
      <c r="S344" s="1"/>
      <c r="T344" s="1"/>
      <c r="U344" s="1"/>
      <c r="V344" s="1"/>
    </row>
    <row r="345">
      <c r="D345" s="4"/>
      <c r="E345" s="114"/>
      <c r="F345" s="109"/>
      <c r="H345" s="1"/>
      <c r="I345" s="1"/>
      <c r="L345" s="110"/>
      <c r="M345" s="111"/>
      <c r="N345" s="112"/>
      <c r="O345" s="113"/>
      <c r="Q345" s="1"/>
      <c r="R345" s="1"/>
      <c r="S345" s="1"/>
      <c r="T345" s="1"/>
      <c r="U345" s="1"/>
      <c r="V345" s="1"/>
    </row>
    <row r="346">
      <c r="D346" s="4"/>
      <c r="E346" s="114"/>
      <c r="F346" s="109"/>
      <c r="H346" s="1"/>
      <c r="I346" s="1"/>
      <c r="L346" s="110"/>
      <c r="M346" s="111"/>
      <c r="N346" s="112"/>
      <c r="O346" s="113"/>
      <c r="Q346" s="1"/>
      <c r="R346" s="1"/>
      <c r="S346" s="1"/>
      <c r="T346" s="1"/>
      <c r="U346" s="1"/>
      <c r="V346" s="1"/>
    </row>
    <row r="347">
      <c r="D347" s="4"/>
      <c r="E347" s="114"/>
      <c r="F347" s="109"/>
      <c r="H347" s="1"/>
      <c r="I347" s="1"/>
      <c r="L347" s="110"/>
      <c r="M347" s="111"/>
      <c r="N347" s="112"/>
      <c r="O347" s="113"/>
      <c r="Q347" s="1"/>
      <c r="R347" s="1"/>
      <c r="S347" s="1"/>
      <c r="T347" s="1"/>
      <c r="U347" s="1"/>
      <c r="V347" s="1"/>
    </row>
    <row r="348">
      <c r="D348" s="4"/>
      <c r="E348" s="114"/>
      <c r="F348" s="109"/>
      <c r="H348" s="1"/>
      <c r="I348" s="1"/>
      <c r="L348" s="110"/>
      <c r="M348" s="111"/>
      <c r="N348" s="112"/>
      <c r="O348" s="113"/>
      <c r="Q348" s="1"/>
      <c r="R348" s="1"/>
      <c r="S348" s="1"/>
      <c r="T348" s="1"/>
      <c r="U348" s="1"/>
      <c r="V348" s="1"/>
    </row>
    <row r="349">
      <c r="D349" s="4"/>
      <c r="E349" s="114"/>
      <c r="F349" s="109"/>
      <c r="H349" s="1"/>
      <c r="I349" s="1"/>
      <c r="L349" s="110"/>
      <c r="M349" s="111"/>
      <c r="N349" s="112"/>
      <c r="O349" s="113"/>
      <c r="Q349" s="1"/>
      <c r="R349" s="1"/>
      <c r="S349" s="1"/>
      <c r="T349" s="1"/>
      <c r="U349" s="1"/>
      <c r="V349" s="1"/>
    </row>
    <row r="350">
      <c r="D350" s="4"/>
      <c r="E350" s="114"/>
      <c r="F350" s="109"/>
      <c r="H350" s="1"/>
      <c r="I350" s="1"/>
      <c r="L350" s="110"/>
      <c r="M350" s="111"/>
      <c r="N350" s="112"/>
      <c r="O350" s="113"/>
      <c r="Q350" s="1"/>
      <c r="R350" s="1"/>
      <c r="S350" s="1"/>
      <c r="T350" s="1"/>
      <c r="U350" s="1"/>
      <c r="V350" s="1"/>
    </row>
    <row r="351">
      <c r="D351" s="4"/>
      <c r="E351" s="114"/>
      <c r="F351" s="109"/>
      <c r="H351" s="1"/>
      <c r="I351" s="1"/>
      <c r="L351" s="110"/>
      <c r="M351" s="111"/>
      <c r="N351" s="112"/>
      <c r="O351" s="113"/>
      <c r="Q351" s="1"/>
      <c r="R351" s="1"/>
      <c r="S351" s="1"/>
      <c r="T351" s="1"/>
      <c r="U351" s="1"/>
      <c r="V351" s="1"/>
    </row>
    <row r="352">
      <c r="D352" s="4"/>
      <c r="E352" s="114"/>
      <c r="F352" s="109"/>
      <c r="H352" s="1"/>
      <c r="I352" s="1"/>
      <c r="L352" s="110"/>
      <c r="M352" s="111"/>
      <c r="N352" s="112"/>
      <c r="O352" s="113"/>
      <c r="Q352" s="1"/>
      <c r="R352" s="1"/>
      <c r="S352" s="1"/>
      <c r="T352" s="1"/>
      <c r="U352" s="1"/>
      <c r="V352" s="1"/>
    </row>
    <row r="353">
      <c r="D353" s="4"/>
      <c r="E353" s="114"/>
      <c r="F353" s="109"/>
      <c r="H353" s="1"/>
      <c r="I353" s="1"/>
      <c r="L353" s="110"/>
      <c r="M353" s="111"/>
      <c r="N353" s="112"/>
      <c r="O353" s="113"/>
      <c r="Q353" s="1"/>
      <c r="R353" s="1"/>
      <c r="S353" s="1"/>
      <c r="T353" s="1"/>
      <c r="U353" s="1"/>
      <c r="V353" s="1"/>
    </row>
    <row r="354">
      <c r="D354" s="4"/>
      <c r="E354" s="114"/>
      <c r="F354" s="109"/>
      <c r="H354" s="1"/>
      <c r="I354" s="1"/>
      <c r="L354" s="110"/>
      <c r="M354" s="111"/>
      <c r="N354" s="112"/>
      <c r="O354" s="113"/>
      <c r="Q354" s="1"/>
      <c r="R354" s="1"/>
      <c r="S354" s="1"/>
      <c r="T354" s="1"/>
      <c r="U354" s="1"/>
      <c r="V354" s="1"/>
    </row>
    <row r="355">
      <c r="D355" s="4"/>
      <c r="E355" s="114"/>
      <c r="F355" s="109"/>
      <c r="H355" s="1"/>
      <c r="I355" s="1"/>
      <c r="L355" s="110"/>
      <c r="M355" s="111"/>
      <c r="N355" s="112"/>
      <c r="O355" s="113"/>
      <c r="Q355" s="1"/>
      <c r="R355" s="1"/>
      <c r="S355" s="1"/>
      <c r="T355" s="1"/>
      <c r="U355" s="1"/>
      <c r="V355" s="1"/>
    </row>
    <row r="356">
      <c r="D356" s="4"/>
      <c r="E356" s="114"/>
      <c r="F356" s="109"/>
      <c r="H356" s="1"/>
      <c r="I356" s="1"/>
      <c r="L356" s="110"/>
      <c r="M356" s="111"/>
      <c r="N356" s="112"/>
      <c r="O356" s="113"/>
      <c r="Q356" s="1"/>
      <c r="R356" s="1"/>
      <c r="S356" s="1"/>
      <c r="T356" s="1"/>
      <c r="U356" s="1"/>
      <c r="V356" s="1"/>
    </row>
    <row r="357">
      <c r="D357" s="4"/>
      <c r="E357" s="114"/>
      <c r="F357" s="109"/>
      <c r="H357" s="1"/>
      <c r="I357" s="1"/>
      <c r="L357" s="110"/>
      <c r="M357" s="111"/>
      <c r="N357" s="112"/>
      <c r="O357" s="113"/>
      <c r="Q357" s="1"/>
      <c r="R357" s="1"/>
      <c r="S357" s="1"/>
      <c r="T357" s="1"/>
      <c r="U357" s="1"/>
      <c r="V357" s="1"/>
    </row>
    <row r="358">
      <c r="D358" s="4"/>
      <c r="E358" s="114"/>
      <c r="F358" s="109"/>
      <c r="H358" s="1"/>
      <c r="I358" s="1"/>
      <c r="L358" s="110"/>
      <c r="M358" s="111"/>
      <c r="N358" s="112"/>
      <c r="O358" s="113"/>
      <c r="Q358" s="1"/>
      <c r="R358" s="1"/>
      <c r="S358" s="1"/>
      <c r="T358" s="1"/>
      <c r="U358" s="1"/>
      <c r="V358" s="1"/>
    </row>
    <row r="359">
      <c r="D359" s="4"/>
      <c r="E359" s="114"/>
      <c r="F359" s="109"/>
      <c r="H359" s="1"/>
      <c r="I359" s="1"/>
      <c r="L359" s="110"/>
      <c r="M359" s="111"/>
      <c r="N359" s="112"/>
      <c r="O359" s="113"/>
      <c r="Q359" s="1"/>
      <c r="R359" s="1"/>
      <c r="S359" s="1"/>
      <c r="T359" s="1"/>
      <c r="U359" s="1"/>
      <c r="V359" s="1"/>
    </row>
    <row r="360">
      <c r="D360" s="4"/>
      <c r="E360" s="114"/>
      <c r="F360" s="109"/>
      <c r="H360" s="1"/>
      <c r="I360" s="1"/>
      <c r="L360" s="110"/>
      <c r="M360" s="111"/>
      <c r="N360" s="112"/>
      <c r="O360" s="113"/>
      <c r="Q360" s="1"/>
      <c r="R360" s="1"/>
      <c r="S360" s="1"/>
      <c r="T360" s="1"/>
      <c r="U360" s="1"/>
      <c r="V360" s="1"/>
    </row>
    <row r="361">
      <c r="D361" s="4"/>
      <c r="E361" s="114"/>
      <c r="F361" s="109"/>
      <c r="H361" s="1"/>
      <c r="I361" s="1"/>
      <c r="L361" s="110"/>
      <c r="M361" s="111"/>
      <c r="N361" s="112"/>
      <c r="O361" s="113"/>
      <c r="Q361" s="1"/>
      <c r="R361" s="1"/>
      <c r="S361" s="1"/>
      <c r="T361" s="1"/>
      <c r="U361" s="1"/>
      <c r="V361" s="1"/>
    </row>
    <row r="362">
      <c r="D362" s="4"/>
      <c r="E362" s="114"/>
      <c r="F362" s="109"/>
      <c r="H362" s="1"/>
      <c r="I362" s="1"/>
      <c r="L362" s="110"/>
      <c r="M362" s="111"/>
      <c r="N362" s="112"/>
      <c r="O362" s="113"/>
      <c r="Q362" s="1"/>
      <c r="R362" s="1"/>
      <c r="S362" s="1"/>
      <c r="T362" s="1"/>
      <c r="U362" s="1"/>
      <c r="V362" s="1"/>
    </row>
    <row r="363">
      <c r="D363" s="4"/>
      <c r="E363" s="114"/>
      <c r="F363" s="109"/>
      <c r="H363" s="1"/>
      <c r="I363" s="1"/>
      <c r="L363" s="110"/>
      <c r="M363" s="111"/>
      <c r="N363" s="112"/>
      <c r="O363" s="113"/>
      <c r="Q363" s="1"/>
      <c r="R363" s="1"/>
      <c r="S363" s="1"/>
      <c r="T363" s="1"/>
      <c r="U363" s="1"/>
      <c r="V363" s="1"/>
    </row>
    <row r="364">
      <c r="D364" s="4"/>
      <c r="E364" s="114"/>
      <c r="F364" s="109"/>
      <c r="H364" s="1"/>
      <c r="I364" s="1"/>
      <c r="L364" s="110"/>
      <c r="M364" s="111"/>
      <c r="N364" s="112"/>
      <c r="O364" s="113"/>
      <c r="Q364" s="1"/>
      <c r="R364" s="1"/>
      <c r="S364" s="1"/>
      <c r="T364" s="1"/>
      <c r="U364" s="1"/>
      <c r="V364" s="1"/>
    </row>
    <row r="365">
      <c r="D365" s="4"/>
      <c r="E365" s="114"/>
      <c r="F365" s="109"/>
      <c r="H365" s="1"/>
      <c r="I365" s="1"/>
      <c r="L365" s="110"/>
      <c r="M365" s="111"/>
      <c r="N365" s="112"/>
      <c r="O365" s="113"/>
      <c r="Q365" s="1"/>
      <c r="R365" s="1"/>
      <c r="S365" s="1"/>
      <c r="T365" s="1"/>
      <c r="U365" s="1"/>
      <c r="V365" s="1"/>
    </row>
    <row r="366">
      <c r="D366" s="4"/>
      <c r="E366" s="114"/>
      <c r="F366" s="109"/>
      <c r="H366" s="1"/>
      <c r="I366" s="1"/>
      <c r="L366" s="110"/>
      <c r="M366" s="111"/>
      <c r="N366" s="112"/>
      <c r="O366" s="113"/>
      <c r="Q366" s="1"/>
      <c r="R366" s="1"/>
      <c r="S366" s="1"/>
      <c r="T366" s="1"/>
      <c r="U366" s="1"/>
      <c r="V366" s="1"/>
    </row>
    <row r="367">
      <c r="D367" s="4"/>
      <c r="E367" s="114"/>
      <c r="F367" s="109"/>
      <c r="H367" s="1"/>
      <c r="I367" s="1"/>
      <c r="L367" s="110"/>
      <c r="M367" s="111"/>
      <c r="N367" s="112"/>
      <c r="O367" s="113"/>
      <c r="Q367" s="1"/>
      <c r="R367" s="1"/>
      <c r="S367" s="1"/>
      <c r="T367" s="1"/>
      <c r="U367" s="1"/>
      <c r="V367" s="1"/>
    </row>
    <row r="368">
      <c r="D368" s="4"/>
      <c r="E368" s="114"/>
      <c r="F368" s="109"/>
      <c r="H368" s="1"/>
      <c r="I368" s="1"/>
      <c r="L368" s="110"/>
      <c r="M368" s="111"/>
      <c r="N368" s="112"/>
      <c r="O368" s="113"/>
      <c r="Q368" s="1"/>
      <c r="R368" s="1"/>
      <c r="S368" s="1"/>
      <c r="T368" s="1"/>
      <c r="U368" s="1"/>
      <c r="V368" s="1"/>
    </row>
    <row r="369">
      <c r="D369" s="4"/>
      <c r="E369" s="114"/>
      <c r="F369" s="109"/>
      <c r="H369" s="1"/>
      <c r="I369" s="1"/>
      <c r="L369" s="110"/>
      <c r="M369" s="111"/>
      <c r="N369" s="112"/>
      <c r="O369" s="113"/>
      <c r="Q369" s="1"/>
      <c r="R369" s="1"/>
      <c r="S369" s="1"/>
      <c r="T369" s="1"/>
      <c r="U369" s="1"/>
      <c r="V369" s="1"/>
    </row>
    <row r="370">
      <c r="D370" s="4"/>
      <c r="E370" s="114"/>
      <c r="F370" s="109"/>
      <c r="H370" s="1"/>
      <c r="I370" s="1"/>
      <c r="L370" s="110"/>
      <c r="M370" s="111"/>
      <c r="N370" s="112"/>
      <c r="O370" s="113"/>
      <c r="Q370" s="1"/>
      <c r="R370" s="1"/>
      <c r="S370" s="1"/>
      <c r="T370" s="1"/>
      <c r="U370" s="1"/>
      <c r="V370" s="1"/>
    </row>
    <row r="371">
      <c r="D371" s="4"/>
      <c r="E371" s="114"/>
      <c r="F371" s="109"/>
      <c r="H371" s="1"/>
      <c r="I371" s="1"/>
      <c r="L371" s="110"/>
      <c r="M371" s="111"/>
      <c r="N371" s="112"/>
      <c r="O371" s="113"/>
      <c r="Q371" s="1"/>
      <c r="R371" s="1"/>
      <c r="S371" s="1"/>
      <c r="T371" s="1"/>
      <c r="U371" s="1"/>
      <c r="V371" s="1"/>
    </row>
    <row r="372">
      <c r="D372" s="4"/>
      <c r="E372" s="114"/>
      <c r="F372" s="109"/>
      <c r="H372" s="1"/>
      <c r="I372" s="1"/>
      <c r="L372" s="110"/>
      <c r="M372" s="111"/>
      <c r="N372" s="112"/>
      <c r="O372" s="113"/>
      <c r="Q372" s="1"/>
      <c r="R372" s="1"/>
      <c r="S372" s="1"/>
      <c r="T372" s="1"/>
      <c r="U372" s="1"/>
      <c r="V372" s="1"/>
    </row>
    <row r="373">
      <c r="D373" s="4"/>
      <c r="E373" s="114"/>
      <c r="F373" s="109"/>
      <c r="H373" s="1"/>
      <c r="I373" s="1"/>
      <c r="L373" s="110"/>
      <c r="M373" s="111"/>
      <c r="N373" s="112"/>
      <c r="O373" s="113"/>
      <c r="Q373" s="1"/>
      <c r="R373" s="1"/>
      <c r="S373" s="1"/>
      <c r="T373" s="1"/>
      <c r="U373" s="1"/>
      <c r="V373" s="1"/>
    </row>
    <row r="374">
      <c r="D374" s="4"/>
      <c r="E374" s="114"/>
      <c r="F374" s="109"/>
      <c r="H374" s="1"/>
      <c r="I374" s="1"/>
      <c r="L374" s="110"/>
      <c r="M374" s="111"/>
      <c r="N374" s="112"/>
      <c r="O374" s="113"/>
      <c r="Q374" s="1"/>
      <c r="R374" s="1"/>
      <c r="S374" s="1"/>
      <c r="T374" s="1"/>
      <c r="U374" s="1"/>
      <c r="V374" s="1"/>
    </row>
    <row r="375">
      <c r="D375" s="4"/>
      <c r="E375" s="114"/>
      <c r="F375" s="109"/>
      <c r="H375" s="1"/>
      <c r="I375" s="1"/>
      <c r="L375" s="110"/>
      <c r="M375" s="111"/>
      <c r="N375" s="112"/>
      <c r="O375" s="113"/>
      <c r="Q375" s="1"/>
      <c r="R375" s="1"/>
      <c r="S375" s="1"/>
      <c r="T375" s="1"/>
      <c r="U375" s="1"/>
      <c r="V375" s="1"/>
    </row>
    <row r="376">
      <c r="D376" s="4"/>
      <c r="E376" s="114"/>
      <c r="F376" s="109"/>
      <c r="H376" s="1"/>
      <c r="I376" s="1"/>
      <c r="L376" s="110"/>
      <c r="M376" s="111"/>
      <c r="N376" s="112"/>
      <c r="O376" s="113"/>
      <c r="Q376" s="1"/>
      <c r="R376" s="1"/>
      <c r="S376" s="1"/>
      <c r="T376" s="1"/>
      <c r="U376" s="1"/>
      <c r="V376" s="1"/>
    </row>
    <row r="377">
      <c r="D377" s="4"/>
      <c r="E377" s="114"/>
      <c r="F377" s="109"/>
      <c r="H377" s="1"/>
      <c r="I377" s="1"/>
      <c r="L377" s="110"/>
      <c r="M377" s="111"/>
      <c r="N377" s="112"/>
      <c r="O377" s="113"/>
      <c r="Q377" s="1"/>
      <c r="R377" s="1"/>
      <c r="S377" s="1"/>
      <c r="T377" s="1"/>
      <c r="U377" s="1"/>
      <c r="V377" s="1"/>
    </row>
    <row r="378">
      <c r="D378" s="4"/>
      <c r="E378" s="114"/>
      <c r="F378" s="109"/>
      <c r="H378" s="1"/>
      <c r="I378" s="1"/>
      <c r="L378" s="110"/>
      <c r="M378" s="111"/>
      <c r="N378" s="112"/>
      <c r="O378" s="113"/>
      <c r="Q378" s="1"/>
      <c r="R378" s="1"/>
      <c r="S378" s="1"/>
      <c r="T378" s="1"/>
      <c r="U378" s="1"/>
      <c r="V378" s="1"/>
    </row>
    <row r="379">
      <c r="D379" s="4"/>
      <c r="E379" s="114"/>
      <c r="F379" s="109"/>
      <c r="H379" s="1"/>
      <c r="I379" s="1"/>
      <c r="L379" s="110"/>
      <c r="M379" s="111"/>
      <c r="N379" s="112"/>
      <c r="O379" s="113"/>
      <c r="Q379" s="1"/>
      <c r="R379" s="1"/>
      <c r="S379" s="1"/>
      <c r="T379" s="1"/>
      <c r="U379" s="1"/>
      <c r="V379" s="1"/>
    </row>
    <row r="380">
      <c r="D380" s="4"/>
      <c r="E380" s="114"/>
      <c r="F380" s="109"/>
      <c r="H380" s="1"/>
      <c r="I380" s="1"/>
      <c r="L380" s="110"/>
      <c r="M380" s="111"/>
      <c r="N380" s="112"/>
      <c r="O380" s="113"/>
      <c r="Q380" s="1"/>
      <c r="R380" s="1"/>
      <c r="S380" s="1"/>
      <c r="T380" s="1"/>
      <c r="U380" s="1"/>
      <c r="V380" s="1"/>
    </row>
    <row r="381">
      <c r="D381" s="4"/>
      <c r="E381" s="114"/>
      <c r="F381" s="109"/>
      <c r="H381" s="1"/>
      <c r="I381" s="1"/>
      <c r="L381" s="110"/>
      <c r="M381" s="111"/>
      <c r="N381" s="112"/>
      <c r="O381" s="113"/>
      <c r="Q381" s="1"/>
      <c r="R381" s="1"/>
      <c r="S381" s="1"/>
      <c r="T381" s="1"/>
      <c r="U381" s="1"/>
      <c r="V381" s="1"/>
    </row>
    <row r="382">
      <c r="D382" s="4"/>
      <c r="E382" s="114"/>
      <c r="F382" s="109"/>
      <c r="H382" s="1"/>
      <c r="I382" s="1"/>
      <c r="L382" s="110"/>
      <c r="M382" s="111"/>
      <c r="N382" s="112"/>
      <c r="O382" s="113"/>
      <c r="Q382" s="1"/>
      <c r="R382" s="1"/>
      <c r="S382" s="1"/>
      <c r="T382" s="1"/>
      <c r="U382" s="1"/>
      <c r="V382" s="1"/>
    </row>
    <row r="383">
      <c r="D383" s="4"/>
      <c r="E383" s="114"/>
      <c r="F383" s="109"/>
      <c r="H383" s="1"/>
      <c r="I383" s="1"/>
      <c r="L383" s="110"/>
      <c r="M383" s="111"/>
      <c r="N383" s="112"/>
      <c r="O383" s="113"/>
      <c r="Q383" s="1"/>
      <c r="R383" s="1"/>
      <c r="S383" s="1"/>
      <c r="T383" s="1"/>
      <c r="U383" s="1"/>
      <c r="V383" s="1"/>
    </row>
    <row r="384">
      <c r="D384" s="4"/>
      <c r="E384" s="114"/>
      <c r="F384" s="109"/>
      <c r="H384" s="1"/>
      <c r="I384" s="1"/>
      <c r="L384" s="110"/>
      <c r="M384" s="111"/>
      <c r="N384" s="112"/>
      <c r="O384" s="113"/>
      <c r="Q384" s="1"/>
      <c r="R384" s="1"/>
      <c r="S384" s="1"/>
      <c r="T384" s="1"/>
      <c r="U384" s="1"/>
      <c r="V384" s="1"/>
    </row>
    <row r="385">
      <c r="D385" s="4"/>
      <c r="E385" s="114"/>
      <c r="F385" s="109"/>
      <c r="H385" s="1"/>
      <c r="I385" s="1"/>
      <c r="L385" s="110"/>
      <c r="M385" s="111"/>
      <c r="N385" s="112"/>
      <c r="O385" s="113"/>
      <c r="Q385" s="1"/>
      <c r="R385" s="1"/>
      <c r="S385" s="1"/>
      <c r="T385" s="1"/>
      <c r="U385" s="1"/>
      <c r="V385" s="1"/>
    </row>
    <row r="386">
      <c r="D386" s="4"/>
      <c r="E386" s="114"/>
      <c r="F386" s="109"/>
      <c r="H386" s="1"/>
      <c r="I386" s="1"/>
      <c r="L386" s="110"/>
      <c r="M386" s="111"/>
      <c r="N386" s="112"/>
      <c r="O386" s="113"/>
      <c r="Q386" s="1"/>
      <c r="R386" s="1"/>
      <c r="S386" s="1"/>
      <c r="T386" s="1"/>
      <c r="U386" s="1"/>
      <c r="V386" s="1"/>
    </row>
    <row r="387">
      <c r="D387" s="4"/>
      <c r="E387" s="114"/>
      <c r="F387" s="109"/>
      <c r="H387" s="1"/>
      <c r="I387" s="1"/>
      <c r="L387" s="110"/>
      <c r="M387" s="111"/>
      <c r="N387" s="112"/>
      <c r="O387" s="113"/>
      <c r="Q387" s="1"/>
      <c r="R387" s="1"/>
      <c r="S387" s="1"/>
      <c r="T387" s="1"/>
      <c r="U387" s="1"/>
      <c r="V387" s="1"/>
    </row>
    <row r="388">
      <c r="D388" s="4"/>
      <c r="E388" s="114"/>
      <c r="F388" s="109"/>
      <c r="H388" s="1"/>
      <c r="I388" s="1"/>
      <c r="L388" s="110"/>
      <c r="M388" s="111"/>
      <c r="N388" s="112"/>
      <c r="O388" s="113"/>
      <c r="Q388" s="1"/>
      <c r="R388" s="1"/>
      <c r="S388" s="1"/>
      <c r="T388" s="1"/>
      <c r="U388" s="1"/>
      <c r="V388" s="1"/>
    </row>
    <row r="389">
      <c r="D389" s="4"/>
      <c r="E389" s="114"/>
      <c r="F389" s="109"/>
      <c r="H389" s="1"/>
      <c r="I389" s="1"/>
      <c r="L389" s="110"/>
      <c r="M389" s="111"/>
      <c r="N389" s="112"/>
      <c r="O389" s="113"/>
      <c r="Q389" s="1"/>
      <c r="R389" s="1"/>
      <c r="S389" s="1"/>
      <c r="T389" s="1"/>
      <c r="U389" s="1"/>
      <c r="V389" s="1"/>
    </row>
    <row r="390">
      <c r="D390" s="4"/>
      <c r="E390" s="114"/>
      <c r="F390" s="109"/>
      <c r="H390" s="1"/>
      <c r="I390" s="1"/>
      <c r="L390" s="110"/>
      <c r="M390" s="111"/>
      <c r="N390" s="112"/>
      <c r="O390" s="113"/>
      <c r="Q390" s="1"/>
      <c r="R390" s="1"/>
      <c r="S390" s="1"/>
      <c r="T390" s="1"/>
      <c r="U390" s="1"/>
      <c r="V390" s="1"/>
    </row>
    <row r="391">
      <c r="D391" s="4"/>
      <c r="E391" s="114"/>
      <c r="F391" s="109"/>
      <c r="H391" s="1"/>
      <c r="I391" s="1"/>
      <c r="L391" s="110"/>
      <c r="M391" s="111"/>
      <c r="N391" s="112"/>
      <c r="O391" s="113"/>
      <c r="Q391" s="1"/>
      <c r="R391" s="1"/>
      <c r="S391" s="1"/>
      <c r="T391" s="1"/>
      <c r="U391" s="1"/>
      <c r="V391" s="1"/>
    </row>
    <row r="392">
      <c r="D392" s="4"/>
      <c r="E392" s="114"/>
      <c r="F392" s="109"/>
      <c r="H392" s="1"/>
      <c r="I392" s="1"/>
      <c r="L392" s="110"/>
      <c r="M392" s="111"/>
      <c r="N392" s="112"/>
      <c r="O392" s="113"/>
      <c r="Q392" s="1"/>
      <c r="R392" s="1"/>
      <c r="S392" s="1"/>
      <c r="T392" s="1"/>
      <c r="U392" s="1"/>
      <c r="V392" s="1"/>
    </row>
    <row r="393">
      <c r="D393" s="4"/>
      <c r="E393" s="114"/>
      <c r="F393" s="109"/>
      <c r="H393" s="1"/>
      <c r="I393" s="1"/>
      <c r="L393" s="110"/>
      <c r="M393" s="111"/>
      <c r="N393" s="112"/>
      <c r="O393" s="113"/>
      <c r="Q393" s="1"/>
      <c r="R393" s="1"/>
      <c r="S393" s="1"/>
      <c r="T393" s="1"/>
      <c r="U393" s="1"/>
      <c r="V393" s="1"/>
    </row>
    <row r="394">
      <c r="D394" s="4"/>
      <c r="E394" s="114"/>
      <c r="F394" s="109"/>
      <c r="H394" s="1"/>
      <c r="I394" s="1"/>
      <c r="L394" s="110"/>
      <c r="M394" s="111"/>
      <c r="N394" s="112"/>
      <c r="O394" s="113"/>
      <c r="Q394" s="1"/>
      <c r="R394" s="1"/>
      <c r="S394" s="1"/>
      <c r="T394" s="1"/>
      <c r="U394" s="1"/>
      <c r="V394" s="1"/>
    </row>
    <row r="395">
      <c r="D395" s="4"/>
      <c r="E395" s="114"/>
      <c r="F395" s="109"/>
      <c r="H395" s="1"/>
      <c r="I395" s="1"/>
      <c r="L395" s="110"/>
      <c r="M395" s="111"/>
      <c r="N395" s="112"/>
      <c r="O395" s="113"/>
      <c r="Q395" s="1"/>
      <c r="R395" s="1"/>
      <c r="S395" s="1"/>
      <c r="T395" s="1"/>
      <c r="U395" s="1"/>
      <c r="V395" s="1"/>
    </row>
    <row r="396">
      <c r="D396" s="4"/>
      <c r="E396" s="114"/>
      <c r="F396" s="109"/>
      <c r="H396" s="1"/>
      <c r="I396" s="1"/>
      <c r="L396" s="110"/>
      <c r="M396" s="111"/>
      <c r="N396" s="112"/>
      <c r="O396" s="113"/>
      <c r="Q396" s="1"/>
      <c r="R396" s="1"/>
      <c r="S396" s="1"/>
      <c r="T396" s="1"/>
      <c r="U396" s="1"/>
      <c r="V396" s="1"/>
    </row>
    <row r="397">
      <c r="D397" s="4"/>
      <c r="E397" s="114"/>
      <c r="F397" s="109"/>
      <c r="H397" s="1"/>
      <c r="I397" s="1"/>
      <c r="L397" s="110"/>
      <c r="M397" s="111"/>
      <c r="N397" s="112"/>
      <c r="O397" s="113"/>
      <c r="Q397" s="1"/>
      <c r="R397" s="1"/>
      <c r="S397" s="1"/>
      <c r="T397" s="1"/>
      <c r="U397" s="1"/>
      <c r="V397" s="1"/>
    </row>
    <row r="398">
      <c r="D398" s="4"/>
      <c r="E398" s="114"/>
      <c r="F398" s="109"/>
      <c r="H398" s="1"/>
      <c r="I398" s="1"/>
      <c r="L398" s="110"/>
      <c r="M398" s="111"/>
      <c r="N398" s="112"/>
      <c r="O398" s="113"/>
      <c r="Q398" s="1"/>
      <c r="R398" s="1"/>
      <c r="S398" s="1"/>
      <c r="T398" s="1"/>
      <c r="U398" s="1"/>
      <c r="V398" s="1"/>
    </row>
    <row r="399">
      <c r="D399" s="4"/>
      <c r="E399" s="114"/>
      <c r="F399" s="109"/>
      <c r="H399" s="1"/>
      <c r="I399" s="1"/>
      <c r="L399" s="110"/>
      <c r="M399" s="111"/>
      <c r="N399" s="112"/>
      <c r="O399" s="113"/>
      <c r="Q399" s="1"/>
      <c r="R399" s="1"/>
      <c r="S399" s="1"/>
      <c r="T399" s="1"/>
      <c r="U399" s="1"/>
      <c r="V399" s="1"/>
    </row>
    <row r="400">
      <c r="D400" s="4"/>
      <c r="E400" s="114"/>
      <c r="F400" s="109"/>
      <c r="H400" s="1"/>
      <c r="I400" s="1"/>
      <c r="L400" s="110"/>
      <c r="M400" s="111"/>
      <c r="N400" s="112"/>
      <c r="O400" s="113"/>
      <c r="Q400" s="1"/>
      <c r="R400" s="1"/>
      <c r="S400" s="1"/>
      <c r="T400" s="1"/>
      <c r="U400" s="1"/>
      <c r="V400" s="1"/>
    </row>
    <row r="401">
      <c r="D401" s="4"/>
      <c r="E401" s="114"/>
      <c r="F401" s="109"/>
      <c r="H401" s="1"/>
      <c r="I401" s="1"/>
      <c r="L401" s="110"/>
      <c r="M401" s="111"/>
      <c r="N401" s="112"/>
      <c r="O401" s="113"/>
      <c r="Q401" s="1"/>
      <c r="R401" s="1"/>
      <c r="S401" s="1"/>
      <c r="T401" s="1"/>
      <c r="U401" s="1"/>
      <c r="V401" s="1"/>
    </row>
    <row r="402">
      <c r="D402" s="4"/>
      <c r="E402" s="114"/>
      <c r="F402" s="109"/>
      <c r="H402" s="1"/>
      <c r="I402" s="1"/>
      <c r="L402" s="110"/>
      <c r="M402" s="111"/>
      <c r="N402" s="112"/>
      <c r="O402" s="113"/>
      <c r="Q402" s="1"/>
      <c r="R402" s="1"/>
      <c r="S402" s="1"/>
      <c r="T402" s="1"/>
      <c r="U402" s="1"/>
      <c r="V402" s="1"/>
    </row>
    <row r="403">
      <c r="D403" s="4"/>
      <c r="E403" s="114"/>
      <c r="F403" s="109"/>
      <c r="H403" s="1"/>
      <c r="I403" s="1"/>
      <c r="L403" s="110"/>
      <c r="M403" s="111"/>
      <c r="N403" s="112"/>
      <c r="O403" s="113"/>
      <c r="Q403" s="1"/>
      <c r="R403" s="1"/>
      <c r="S403" s="1"/>
      <c r="T403" s="1"/>
      <c r="U403" s="1"/>
      <c r="V403" s="1"/>
    </row>
    <row r="404">
      <c r="D404" s="4"/>
      <c r="E404" s="114"/>
      <c r="F404" s="109"/>
      <c r="H404" s="1"/>
      <c r="I404" s="1"/>
      <c r="L404" s="110"/>
      <c r="M404" s="111"/>
      <c r="N404" s="112"/>
      <c r="O404" s="113"/>
      <c r="Q404" s="1"/>
      <c r="R404" s="1"/>
      <c r="S404" s="1"/>
      <c r="T404" s="1"/>
      <c r="U404" s="1"/>
      <c r="V404" s="1"/>
    </row>
    <row r="405">
      <c r="D405" s="4"/>
      <c r="E405" s="114"/>
      <c r="F405" s="109"/>
      <c r="H405" s="1"/>
      <c r="I405" s="1"/>
      <c r="L405" s="110"/>
      <c r="M405" s="111"/>
      <c r="N405" s="112"/>
      <c r="O405" s="113"/>
      <c r="Q405" s="1"/>
      <c r="R405" s="1"/>
      <c r="S405" s="1"/>
      <c r="T405" s="1"/>
      <c r="U405" s="1"/>
      <c r="V405" s="1"/>
    </row>
    <row r="406">
      <c r="D406" s="4"/>
      <c r="E406" s="114"/>
      <c r="F406" s="109"/>
      <c r="H406" s="1"/>
      <c r="I406" s="1"/>
      <c r="L406" s="110"/>
      <c r="M406" s="111"/>
      <c r="N406" s="112"/>
      <c r="O406" s="113"/>
      <c r="Q406" s="1"/>
      <c r="R406" s="1"/>
      <c r="S406" s="1"/>
      <c r="T406" s="1"/>
      <c r="U406" s="1"/>
      <c r="V406" s="1"/>
    </row>
    <row r="407">
      <c r="D407" s="4"/>
      <c r="E407" s="114"/>
      <c r="F407" s="109"/>
      <c r="H407" s="1"/>
      <c r="I407" s="1"/>
      <c r="L407" s="110"/>
      <c r="M407" s="111"/>
      <c r="N407" s="112"/>
      <c r="O407" s="113"/>
      <c r="Q407" s="1"/>
      <c r="R407" s="1"/>
      <c r="S407" s="1"/>
      <c r="T407" s="1"/>
      <c r="U407" s="1"/>
      <c r="V407" s="1"/>
    </row>
    <row r="408">
      <c r="D408" s="4"/>
      <c r="E408" s="114"/>
      <c r="F408" s="109"/>
      <c r="H408" s="1"/>
      <c r="I408" s="1"/>
      <c r="L408" s="110"/>
      <c r="M408" s="111"/>
      <c r="N408" s="112"/>
      <c r="O408" s="113"/>
      <c r="Q408" s="1"/>
      <c r="R408" s="1"/>
      <c r="S408" s="1"/>
      <c r="T408" s="1"/>
      <c r="U408" s="1"/>
      <c r="V408" s="1"/>
    </row>
    <row r="409">
      <c r="D409" s="4"/>
      <c r="E409" s="114"/>
      <c r="F409" s="109"/>
      <c r="H409" s="1"/>
      <c r="I409" s="1"/>
      <c r="L409" s="110"/>
      <c r="M409" s="111"/>
      <c r="N409" s="112"/>
      <c r="O409" s="113"/>
      <c r="Q409" s="1"/>
      <c r="R409" s="1"/>
      <c r="S409" s="1"/>
      <c r="T409" s="1"/>
      <c r="U409" s="1"/>
      <c r="V409" s="1"/>
    </row>
    <row r="410">
      <c r="D410" s="4"/>
      <c r="E410" s="114"/>
      <c r="F410" s="109"/>
      <c r="H410" s="1"/>
      <c r="I410" s="1"/>
      <c r="L410" s="110"/>
      <c r="M410" s="111"/>
      <c r="N410" s="112"/>
      <c r="O410" s="113"/>
      <c r="Q410" s="1"/>
      <c r="R410" s="1"/>
      <c r="S410" s="1"/>
      <c r="T410" s="1"/>
      <c r="U410" s="1"/>
      <c r="V410" s="1"/>
    </row>
    <row r="411">
      <c r="D411" s="4"/>
      <c r="E411" s="114"/>
      <c r="F411" s="109"/>
      <c r="H411" s="1"/>
      <c r="I411" s="1"/>
      <c r="L411" s="110"/>
      <c r="M411" s="111"/>
      <c r="N411" s="112"/>
      <c r="O411" s="113"/>
      <c r="Q411" s="1"/>
      <c r="R411" s="1"/>
      <c r="S411" s="1"/>
      <c r="T411" s="1"/>
      <c r="U411" s="1"/>
      <c r="V411" s="1"/>
    </row>
    <row r="412">
      <c r="D412" s="4"/>
      <c r="E412" s="114"/>
      <c r="F412" s="109"/>
      <c r="H412" s="1"/>
      <c r="I412" s="1"/>
      <c r="L412" s="110"/>
      <c r="M412" s="111"/>
      <c r="N412" s="112"/>
      <c r="O412" s="113"/>
      <c r="Q412" s="1"/>
      <c r="R412" s="1"/>
      <c r="S412" s="1"/>
      <c r="T412" s="1"/>
      <c r="U412" s="1"/>
      <c r="V412" s="1"/>
    </row>
    <row r="413">
      <c r="D413" s="4"/>
      <c r="E413" s="114"/>
      <c r="F413" s="109"/>
      <c r="H413" s="1"/>
      <c r="I413" s="1"/>
      <c r="L413" s="110"/>
      <c r="M413" s="111"/>
      <c r="N413" s="112"/>
      <c r="O413" s="113"/>
      <c r="Q413" s="1"/>
      <c r="R413" s="1"/>
      <c r="S413" s="1"/>
      <c r="T413" s="1"/>
      <c r="U413" s="1"/>
      <c r="V413" s="1"/>
    </row>
    <row r="414">
      <c r="D414" s="4"/>
      <c r="E414" s="114"/>
      <c r="F414" s="109"/>
      <c r="H414" s="1"/>
      <c r="I414" s="1"/>
      <c r="L414" s="110"/>
      <c r="M414" s="111"/>
      <c r="N414" s="112"/>
      <c r="O414" s="113"/>
      <c r="Q414" s="1"/>
      <c r="R414" s="1"/>
      <c r="S414" s="1"/>
      <c r="T414" s="1"/>
      <c r="U414" s="1"/>
      <c r="V414" s="1"/>
    </row>
    <row r="415">
      <c r="D415" s="4"/>
      <c r="E415" s="114"/>
      <c r="F415" s="109"/>
      <c r="H415" s="1"/>
      <c r="I415" s="1"/>
      <c r="L415" s="110"/>
      <c r="M415" s="111"/>
      <c r="N415" s="112"/>
      <c r="O415" s="113"/>
      <c r="Q415" s="1"/>
      <c r="R415" s="1"/>
      <c r="S415" s="1"/>
      <c r="T415" s="1"/>
      <c r="U415" s="1"/>
      <c r="V415" s="1"/>
    </row>
    <row r="416">
      <c r="D416" s="4"/>
      <c r="E416" s="114"/>
      <c r="F416" s="109"/>
      <c r="H416" s="1"/>
      <c r="I416" s="1"/>
      <c r="L416" s="110"/>
      <c r="M416" s="111"/>
      <c r="N416" s="112"/>
      <c r="O416" s="113"/>
      <c r="Q416" s="1"/>
      <c r="R416" s="1"/>
      <c r="S416" s="1"/>
      <c r="T416" s="1"/>
      <c r="U416" s="1"/>
      <c r="V416" s="1"/>
    </row>
    <row r="417">
      <c r="D417" s="4"/>
      <c r="E417" s="114"/>
      <c r="F417" s="109"/>
      <c r="H417" s="1"/>
      <c r="I417" s="1"/>
      <c r="L417" s="110"/>
      <c r="M417" s="111"/>
      <c r="N417" s="112"/>
      <c r="O417" s="113"/>
      <c r="Q417" s="1"/>
      <c r="R417" s="1"/>
      <c r="S417" s="1"/>
      <c r="T417" s="1"/>
      <c r="U417" s="1"/>
      <c r="V417" s="1"/>
    </row>
    <row r="418">
      <c r="D418" s="4"/>
      <c r="E418" s="114"/>
      <c r="F418" s="109"/>
      <c r="H418" s="1"/>
      <c r="I418" s="1"/>
      <c r="L418" s="110"/>
      <c r="M418" s="111"/>
      <c r="N418" s="112"/>
      <c r="O418" s="113"/>
      <c r="Q418" s="1"/>
      <c r="R418" s="1"/>
      <c r="S418" s="1"/>
      <c r="T418" s="1"/>
      <c r="U418" s="1"/>
      <c r="V418" s="1"/>
    </row>
    <row r="419">
      <c r="D419" s="4"/>
      <c r="E419" s="114"/>
      <c r="F419" s="109"/>
      <c r="H419" s="1"/>
      <c r="I419" s="1"/>
      <c r="L419" s="110"/>
      <c r="M419" s="111"/>
      <c r="N419" s="112"/>
      <c r="O419" s="113"/>
      <c r="Q419" s="1"/>
      <c r="R419" s="1"/>
      <c r="S419" s="1"/>
      <c r="T419" s="1"/>
      <c r="U419" s="1"/>
      <c r="V419" s="1"/>
    </row>
    <row r="420">
      <c r="D420" s="4"/>
      <c r="E420" s="114"/>
      <c r="F420" s="109"/>
      <c r="H420" s="1"/>
      <c r="I420" s="1"/>
      <c r="L420" s="110"/>
      <c r="M420" s="111"/>
      <c r="N420" s="112"/>
      <c r="O420" s="113"/>
      <c r="Q420" s="1"/>
      <c r="R420" s="1"/>
      <c r="S420" s="1"/>
      <c r="T420" s="1"/>
      <c r="U420" s="1"/>
      <c r="V420" s="1"/>
    </row>
    <row r="421">
      <c r="D421" s="4"/>
      <c r="E421" s="114"/>
      <c r="F421" s="109"/>
      <c r="H421" s="1"/>
      <c r="I421" s="1"/>
      <c r="L421" s="110"/>
      <c r="M421" s="111"/>
      <c r="N421" s="112"/>
      <c r="O421" s="113"/>
      <c r="Q421" s="1"/>
      <c r="R421" s="1"/>
      <c r="S421" s="1"/>
      <c r="T421" s="1"/>
      <c r="U421" s="1"/>
      <c r="V421" s="1"/>
    </row>
    <row r="422">
      <c r="D422" s="4"/>
      <c r="E422" s="114"/>
      <c r="F422" s="109"/>
      <c r="H422" s="1"/>
      <c r="I422" s="1"/>
      <c r="L422" s="110"/>
      <c r="M422" s="111"/>
      <c r="N422" s="112"/>
      <c r="O422" s="113"/>
      <c r="Q422" s="1"/>
      <c r="R422" s="1"/>
      <c r="S422" s="1"/>
      <c r="T422" s="1"/>
      <c r="U422" s="1"/>
      <c r="V422" s="1"/>
    </row>
    <row r="423">
      <c r="D423" s="4"/>
      <c r="E423" s="114"/>
      <c r="F423" s="109"/>
      <c r="H423" s="1"/>
      <c r="I423" s="1"/>
      <c r="L423" s="110"/>
      <c r="M423" s="111"/>
      <c r="N423" s="112"/>
      <c r="O423" s="113"/>
      <c r="Q423" s="1"/>
      <c r="R423" s="1"/>
      <c r="S423" s="1"/>
      <c r="T423" s="1"/>
      <c r="U423" s="1"/>
      <c r="V423" s="1"/>
    </row>
    <row r="424">
      <c r="D424" s="4"/>
      <c r="E424" s="114"/>
      <c r="F424" s="109"/>
      <c r="H424" s="1"/>
      <c r="I424" s="1"/>
      <c r="L424" s="110"/>
      <c r="M424" s="111"/>
      <c r="N424" s="112"/>
      <c r="O424" s="113"/>
      <c r="Q424" s="1"/>
      <c r="R424" s="1"/>
      <c r="S424" s="1"/>
      <c r="T424" s="1"/>
      <c r="U424" s="1"/>
      <c r="V424" s="1"/>
    </row>
    <row r="425">
      <c r="D425" s="4"/>
      <c r="E425" s="114"/>
      <c r="F425" s="109"/>
      <c r="H425" s="1"/>
      <c r="I425" s="1"/>
      <c r="L425" s="110"/>
      <c r="M425" s="111"/>
      <c r="N425" s="112"/>
      <c r="O425" s="113"/>
      <c r="Q425" s="1"/>
      <c r="R425" s="1"/>
      <c r="S425" s="1"/>
      <c r="T425" s="1"/>
      <c r="U425" s="1"/>
      <c r="V425" s="1"/>
    </row>
    <row r="426">
      <c r="D426" s="4"/>
      <c r="E426" s="114"/>
      <c r="F426" s="109"/>
      <c r="H426" s="1"/>
      <c r="I426" s="1"/>
      <c r="L426" s="110"/>
      <c r="M426" s="111"/>
      <c r="N426" s="112"/>
      <c r="O426" s="113"/>
      <c r="Q426" s="1"/>
      <c r="R426" s="1"/>
      <c r="S426" s="1"/>
      <c r="T426" s="1"/>
      <c r="U426" s="1"/>
      <c r="V426" s="1"/>
    </row>
    <row r="427">
      <c r="D427" s="4"/>
      <c r="E427" s="114"/>
      <c r="F427" s="109"/>
      <c r="H427" s="1"/>
      <c r="I427" s="1"/>
      <c r="L427" s="110"/>
      <c r="M427" s="111"/>
      <c r="N427" s="112"/>
      <c r="O427" s="113"/>
      <c r="Q427" s="1"/>
      <c r="R427" s="1"/>
      <c r="S427" s="1"/>
      <c r="T427" s="1"/>
      <c r="U427" s="1"/>
      <c r="V427" s="1"/>
    </row>
    <row r="428">
      <c r="D428" s="4"/>
      <c r="E428" s="114"/>
      <c r="F428" s="109"/>
      <c r="H428" s="1"/>
      <c r="I428" s="1"/>
      <c r="L428" s="110"/>
      <c r="M428" s="111"/>
      <c r="N428" s="112"/>
      <c r="O428" s="113"/>
      <c r="Q428" s="1"/>
      <c r="R428" s="1"/>
      <c r="S428" s="1"/>
      <c r="T428" s="1"/>
      <c r="U428" s="1"/>
      <c r="V428" s="1"/>
    </row>
    <row r="429">
      <c r="D429" s="4"/>
      <c r="E429" s="114"/>
      <c r="F429" s="109"/>
      <c r="H429" s="1"/>
      <c r="I429" s="1"/>
      <c r="L429" s="110"/>
      <c r="M429" s="111"/>
      <c r="N429" s="112"/>
      <c r="O429" s="113"/>
      <c r="Q429" s="1"/>
      <c r="R429" s="1"/>
      <c r="S429" s="1"/>
      <c r="T429" s="1"/>
      <c r="U429" s="1"/>
      <c r="V429" s="1"/>
    </row>
    <row r="430">
      <c r="D430" s="4"/>
      <c r="E430" s="114"/>
      <c r="F430" s="109"/>
      <c r="H430" s="1"/>
      <c r="I430" s="1"/>
      <c r="L430" s="110"/>
      <c r="M430" s="111"/>
      <c r="N430" s="112"/>
      <c r="O430" s="113"/>
      <c r="Q430" s="1"/>
      <c r="R430" s="1"/>
      <c r="S430" s="1"/>
      <c r="T430" s="1"/>
      <c r="U430" s="1"/>
      <c r="V430" s="1"/>
    </row>
    <row r="431">
      <c r="D431" s="4"/>
      <c r="E431" s="114"/>
      <c r="F431" s="109"/>
      <c r="H431" s="1"/>
      <c r="I431" s="1"/>
      <c r="L431" s="110"/>
      <c r="M431" s="111"/>
      <c r="N431" s="112"/>
      <c r="O431" s="113"/>
      <c r="Q431" s="1"/>
      <c r="R431" s="1"/>
      <c r="S431" s="1"/>
      <c r="T431" s="1"/>
      <c r="U431" s="1"/>
      <c r="V431" s="1"/>
    </row>
    <row r="432">
      <c r="D432" s="4"/>
      <c r="E432" s="114"/>
      <c r="F432" s="109"/>
      <c r="H432" s="1"/>
      <c r="I432" s="1"/>
      <c r="L432" s="110"/>
      <c r="M432" s="111"/>
      <c r="N432" s="112"/>
      <c r="O432" s="113"/>
      <c r="Q432" s="1"/>
      <c r="R432" s="1"/>
      <c r="S432" s="1"/>
      <c r="T432" s="1"/>
      <c r="U432" s="1"/>
      <c r="V432" s="1"/>
    </row>
    <row r="433">
      <c r="D433" s="4"/>
      <c r="E433" s="114"/>
      <c r="F433" s="109"/>
      <c r="H433" s="1"/>
      <c r="I433" s="1"/>
      <c r="L433" s="110"/>
      <c r="M433" s="111"/>
      <c r="N433" s="112"/>
      <c r="O433" s="113"/>
      <c r="Q433" s="1"/>
      <c r="R433" s="1"/>
      <c r="S433" s="1"/>
      <c r="T433" s="1"/>
      <c r="U433" s="1"/>
      <c r="V433" s="1"/>
    </row>
    <row r="434">
      <c r="D434" s="4"/>
      <c r="E434" s="114"/>
      <c r="F434" s="109"/>
      <c r="H434" s="1"/>
      <c r="I434" s="1"/>
      <c r="L434" s="110"/>
      <c r="M434" s="111"/>
      <c r="N434" s="112"/>
      <c r="O434" s="113"/>
      <c r="Q434" s="1"/>
      <c r="R434" s="1"/>
      <c r="S434" s="1"/>
      <c r="T434" s="1"/>
      <c r="U434" s="1"/>
      <c r="V434" s="1"/>
    </row>
    <row r="435">
      <c r="D435" s="4"/>
      <c r="E435" s="114"/>
      <c r="F435" s="109"/>
      <c r="H435" s="1"/>
      <c r="I435" s="1"/>
      <c r="L435" s="110"/>
      <c r="M435" s="111"/>
      <c r="N435" s="112"/>
      <c r="O435" s="113"/>
      <c r="Q435" s="1"/>
      <c r="R435" s="1"/>
      <c r="S435" s="1"/>
      <c r="T435" s="1"/>
      <c r="U435" s="1"/>
      <c r="V435" s="1"/>
    </row>
    <row r="436">
      <c r="D436" s="4"/>
      <c r="E436" s="114"/>
      <c r="F436" s="109"/>
      <c r="H436" s="1"/>
      <c r="I436" s="1"/>
      <c r="L436" s="110"/>
      <c r="M436" s="111"/>
      <c r="N436" s="112"/>
      <c r="O436" s="113"/>
      <c r="Q436" s="1"/>
      <c r="R436" s="1"/>
      <c r="S436" s="1"/>
      <c r="T436" s="1"/>
      <c r="U436" s="1"/>
      <c r="V436" s="1"/>
    </row>
    <row r="437">
      <c r="D437" s="4"/>
      <c r="E437" s="114"/>
      <c r="F437" s="109"/>
      <c r="H437" s="1"/>
      <c r="I437" s="1"/>
      <c r="L437" s="110"/>
      <c r="M437" s="111"/>
      <c r="N437" s="112"/>
      <c r="O437" s="113"/>
      <c r="Q437" s="1"/>
      <c r="R437" s="1"/>
      <c r="S437" s="1"/>
      <c r="T437" s="1"/>
      <c r="U437" s="1"/>
      <c r="V437" s="1"/>
    </row>
    <row r="438">
      <c r="D438" s="4"/>
      <c r="E438" s="114"/>
      <c r="F438" s="109"/>
      <c r="H438" s="1"/>
      <c r="I438" s="1"/>
      <c r="L438" s="110"/>
      <c r="M438" s="111"/>
      <c r="N438" s="112"/>
      <c r="O438" s="113"/>
      <c r="Q438" s="1"/>
      <c r="R438" s="1"/>
      <c r="S438" s="1"/>
      <c r="T438" s="1"/>
      <c r="U438" s="1"/>
      <c r="V438" s="1"/>
    </row>
    <row r="439">
      <c r="D439" s="4"/>
      <c r="E439" s="114"/>
      <c r="F439" s="109"/>
      <c r="H439" s="1"/>
      <c r="I439" s="1"/>
      <c r="L439" s="110"/>
      <c r="M439" s="111"/>
      <c r="N439" s="112"/>
      <c r="O439" s="113"/>
      <c r="Q439" s="1"/>
      <c r="R439" s="1"/>
      <c r="S439" s="1"/>
      <c r="T439" s="1"/>
      <c r="U439" s="1"/>
      <c r="V439" s="1"/>
    </row>
    <row r="440">
      <c r="D440" s="4"/>
      <c r="E440" s="114"/>
      <c r="F440" s="109"/>
      <c r="H440" s="1"/>
      <c r="I440" s="1"/>
      <c r="L440" s="110"/>
      <c r="M440" s="111"/>
      <c r="N440" s="112"/>
      <c r="O440" s="113"/>
      <c r="Q440" s="1"/>
      <c r="R440" s="1"/>
      <c r="S440" s="1"/>
      <c r="T440" s="1"/>
      <c r="U440" s="1"/>
      <c r="V440" s="1"/>
    </row>
    <row r="441">
      <c r="D441" s="4"/>
      <c r="E441" s="114"/>
      <c r="F441" s="109"/>
      <c r="H441" s="1"/>
      <c r="I441" s="1"/>
      <c r="L441" s="110"/>
      <c r="M441" s="111"/>
      <c r="N441" s="112"/>
      <c r="O441" s="113"/>
      <c r="Q441" s="1"/>
      <c r="R441" s="1"/>
      <c r="S441" s="1"/>
      <c r="T441" s="1"/>
      <c r="U441" s="1"/>
      <c r="V441" s="1"/>
    </row>
    <row r="442">
      <c r="D442" s="4"/>
      <c r="E442" s="114"/>
      <c r="F442" s="109"/>
      <c r="H442" s="1"/>
      <c r="I442" s="1"/>
      <c r="L442" s="110"/>
      <c r="M442" s="111"/>
      <c r="N442" s="112"/>
      <c r="O442" s="113"/>
      <c r="Q442" s="1"/>
      <c r="R442" s="1"/>
      <c r="S442" s="1"/>
      <c r="T442" s="1"/>
      <c r="U442" s="1"/>
      <c r="V442" s="1"/>
    </row>
    <row r="443">
      <c r="D443" s="4"/>
      <c r="E443" s="114"/>
      <c r="F443" s="109"/>
      <c r="H443" s="1"/>
      <c r="I443" s="1"/>
      <c r="L443" s="110"/>
      <c r="M443" s="111"/>
      <c r="N443" s="112"/>
      <c r="O443" s="113"/>
      <c r="Q443" s="1"/>
      <c r="R443" s="1"/>
      <c r="S443" s="1"/>
      <c r="T443" s="1"/>
      <c r="U443" s="1"/>
      <c r="V443" s="1"/>
    </row>
    <row r="444">
      <c r="D444" s="4"/>
      <c r="E444" s="114"/>
      <c r="F444" s="109"/>
      <c r="H444" s="1"/>
      <c r="I444" s="1"/>
      <c r="L444" s="110"/>
      <c r="M444" s="111"/>
      <c r="N444" s="112"/>
      <c r="O444" s="113"/>
      <c r="Q444" s="1"/>
      <c r="R444" s="1"/>
      <c r="S444" s="1"/>
      <c r="T444" s="1"/>
      <c r="U444" s="1"/>
      <c r="V444" s="1"/>
    </row>
    <row r="445">
      <c r="D445" s="4"/>
      <c r="E445" s="114"/>
      <c r="F445" s="109"/>
      <c r="H445" s="1"/>
      <c r="I445" s="1"/>
      <c r="L445" s="110"/>
      <c r="M445" s="111"/>
      <c r="N445" s="112"/>
      <c r="O445" s="113"/>
      <c r="Q445" s="1"/>
      <c r="R445" s="1"/>
      <c r="S445" s="1"/>
      <c r="T445" s="1"/>
      <c r="U445" s="1"/>
      <c r="V445" s="1"/>
    </row>
    <row r="446">
      <c r="D446" s="4"/>
      <c r="E446" s="114"/>
      <c r="F446" s="109"/>
      <c r="H446" s="1"/>
      <c r="I446" s="1"/>
      <c r="L446" s="110"/>
      <c r="M446" s="111"/>
      <c r="N446" s="112"/>
      <c r="O446" s="113"/>
      <c r="Q446" s="1"/>
      <c r="R446" s="1"/>
      <c r="S446" s="1"/>
      <c r="T446" s="1"/>
      <c r="U446" s="1"/>
      <c r="V446" s="1"/>
    </row>
    <row r="447">
      <c r="D447" s="4"/>
      <c r="E447" s="114"/>
      <c r="F447" s="109"/>
      <c r="H447" s="1"/>
      <c r="I447" s="1"/>
      <c r="L447" s="110"/>
      <c r="M447" s="111"/>
      <c r="N447" s="112"/>
      <c r="O447" s="113"/>
      <c r="Q447" s="1"/>
      <c r="R447" s="1"/>
      <c r="S447" s="1"/>
      <c r="T447" s="1"/>
      <c r="U447" s="1"/>
      <c r="V447" s="1"/>
    </row>
    <row r="448">
      <c r="D448" s="4"/>
      <c r="E448" s="114"/>
      <c r="F448" s="109"/>
      <c r="H448" s="1"/>
      <c r="I448" s="1"/>
      <c r="L448" s="110"/>
      <c r="M448" s="111"/>
      <c r="N448" s="112"/>
      <c r="O448" s="113"/>
      <c r="Q448" s="1"/>
      <c r="R448" s="1"/>
      <c r="S448" s="1"/>
      <c r="T448" s="1"/>
      <c r="U448" s="1"/>
      <c r="V448" s="1"/>
    </row>
    <row r="449">
      <c r="D449" s="4"/>
      <c r="E449" s="114"/>
      <c r="F449" s="109"/>
      <c r="H449" s="1"/>
      <c r="I449" s="1"/>
      <c r="L449" s="110"/>
      <c r="M449" s="111"/>
      <c r="N449" s="112"/>
      <c r="O449" s="113"/>
      <c r="Q449" s="1"/>
      <c r="R449" s="1"/>
      <c r="S449" s="1"/>
      <c r="T449" s="1"/>
      <c r="U449" s="1"/>
      <c r="V449" s="1"/>
    </row>
    <row r="450">
      <c r="D450" s="4"/>
      <c r="E450" s="114"/>
      <c r="F450" s="109"/>
      <c r="H450" s="1"/>
      <c r="I450" s="1"/>
      <c r="L450" s="110"/>
      <c r="M450" s="111"/>
      <c r="N450" s="112"/>
      <c r="O450" s="113"/>
      <c r="Q450" s="1"/>
      <c r="R450" s="1"/>
      <c r="S450" s="1"/>
      <c r="T450" s="1"/>
      <c r="U450" s="1"/>
      <c r="V450" s="1"/>
    </row>
    <row r="451">
      <c r="D451" s="4"/>
      <c r="E451" s="114"/>
      <c r="F451" s="109"/>
      <c r="H451" s="1"/>
      <c r="I451" s="1"/>
      <c r="L451" s="110"/>
      <c r="M451" s="111"/>
      <c r="N451" s="112"/>
      <c r="O451" s="113"/>
      <c r="Q451" s="1"/>
      <c r="R451" s="1"/>
      <c r="S451" s="1"/>
      <c r="T451" s="1"/>
      <c r="U451" s="1"/>
      <c r="V451" s="1"/>
    </row>
    <row r="452">
      <c r="D452" s="4"/>
      <c r="E452" s="114"/>
      <c r="F452" s="109"/>
      <c r="H452" s="1"/>
      <c r="I452" s="1"/>
      <c r="L452" s="110"/>
      <c r="M452" s="111"/>
      <c r="N452" s="112"/>
      <c r="O452" s="113"/>
      <c r="Q452" s="1"/>
      <c r="R452" s="1"/>
      <c r="S452" s="1"/>
      <c r="T452" s="1"/>
      <c r="U452" s="1"/>
      <c r="V452" s="1"/>
    </row>
    <row r="453">
      <c r="D453" s="4"/>
      <c r="E453" s="114"/>
      <c r="F453" s="109"/>
      <c r="H453" s="1"/>
      <c r="I453" s="1"/>
      <c r="L453" s="110"/>
      <c r="M453" s="111"/>
      <c r="N453" s="112"/>
      <c r="O453" s="113"/>
      <c r="Q453" s="1"/>
      <c r="R453" s="1"/>
      <c r="S453" s="1"/>
      <c r="T453" s="1"/>
      <c r="U453" s="1"/>
      <c r="V453" s="1"/>
    </row>
    <row r="454">
      <c r="D454" s="4"/>
      <c r="E454" s="114"/>
      <c r="F454" s="109"/>
      <c r="H454" s="1"/>
      <c r="I454" s="1"/>
      <c r="L454" s="110"/>
      <c r="M454" s="111"/>
      <c r="N454" s="112"/>
      <c r="O454" s="113"/>
      <c r="Q454" s="1"/>
      <c r="R454" s="1"/>
      <c r="S454" s="1"/>
      <c r="T454" s="1"/>
      <c r="U454" s="1"/>
      <c r="V454" s="1"/>
    </row>
    <row r="455">
      <c r="D455" s="4"/>
      <c r="E455" s="114"/>
      <c r="F455" s="109"/>
      <c r="H455" s="1"/>
      <c r="I455" s="1"/>
      <c r="L455" s="110"/>
      <c r="M455" s="111"/>
      <c r="N455" s="112"/>
      <c r="O455" s="113"/>
      <c r="Q455" s="1"/>
      <c r="R455" s="1"/>
      <c r="S455" s="1"/>
      <c r="T455" s="1"/>
      <c r="U455" s="1"/>
      <c r="V455" s="1"/>
    </row>
    <row r="456">
      <c r="D456" s="4"/>
      <c r="E456" s="114"/>
      <c r="F456" s="109"/>
      <c r="H456" s="1"/>
      <c r="I456" s="1"/>
      <c r="L456" s="110"/>
      <c r="M456" s="111"/>
      <c r="N456" s="112"/>
      <c r="O456" s="113"/>
      <c r="Q456" s="1"/>
      <c r="R456" s="1"/>
      <c r="S456" s="1"/>
      <c r="T456" s="1"/>
      <c r="U456" s="1"/>
      <c r="V456" s="1"/>
    </row>
    <row r="457">
      <c r="D457" s="4"/>
      <c r="E457" s="114"/>
      <c r="F457" s="109"/>
      <c r="H457" s="1"/>
      <c r="I457" s="1"/>
      <c r="L457" s="110"/>
      <c r="M457" s="111"/>
      <c r="N457" s="112"/>
      <c r="O457" s="113"/>
      <c r="Q457" s="1"/>
      <c r="R457" s="1"/>
      <c r="S457" s="1"/>
      <c r="T457" s="1"/>
      <c r="U457" s="1"/>
      <c r="V457" s="1"/>
    </row>
    <row r="458">
      <c r="D458" s="4"/>
      <c r="E458" s="114"/>
      <c r="F458" s="109"/>
      <c r="H458" s="1"/>
      <c r="I458" s="1"/>
      <c r="L458" s="110"/>
      <c r="M458" s="111"/>
      <c r="N458" s="112"/>
      <c r="O458" s="113"/>
      <c r="Q458" s="1"/>
      <c r="R458" s="1"/>
      <c r="S458" s="1"/>
      <c r="T458" s="1"/>
      <c r="U458" s="1"/>
      <c r="V458" s="1"/>
    </row>
    <row r="459">
      <c r="D459" s="4"/>
      <c r="E459" s="114"/>
      <c r="F459" s="109"/>
      <c r="H459" s="1"/>
      <c r="I459" s="1"/>
      <c r="L459" s="110"/>
      <c r="M459" s="111"/>
      <c r="N459" s="112"/>
      <c r="O459" s="113"/>
      <c r="Q459" s="1"/>
      <c r="R459" s="1"/>
      <c r="S459" s="1"/>
      <c r="T459" s="1"/>
      <c r="U459" s="1"/>
      <c r="V459" s="1"/>
    </row>
    <row r="460">
      <c r="D460" s="4"/>
      <c r="E460" s="114"/>
      <c r="F460" s="109"/>
      <c r="H460" s="1"/>
      <c r="I460" s="1"/>
      <c r="L460" s="110"/>
      <c r="M460" s="111"/>
      <c r="N460" s="112"/>
      <c r="O460" s="113"/>
      <c r="Q460" s="1"/>
      <c r="R460" s="1"/>
      <c r="S460" s="1"/>
      <c r="T460" s="1"/>
      <c r="U460" s="1"/>
      <c r="V460" s="1"/>
    </row>
    <row r="461">
      <c r="D461" s="4"/>
      <c r="E461" s="114"/>
      <c r="F461" s="109"/>
      <c r="H461" s="1"/>
      <c r="I461" s="1"/>
      <c r="L461" s="110"/>
      <c r="M461" s="111"/>
      <c r="N461" s="112"/>
      <c r="O461" s="113"/>
      <c r="Q461" s="1"/>
      <c r="R461" s="1"/>
      <c r="S461" s="1"/>
      <c r="T461" s="1"/>
      <c r="U461" s="1"/>
      <c r="V461" s="1"/>
    </row>
    <row r="462">
      <c r="D462" s="4"/>
      <c r="E462" s="114"/>
      <c r="F462" s="109"/>
      <c r="H462" s="1"/>
      <c r="I462" s="1"/>
      <c r="L462" s="110"/>
      <c r="M462" s="111"/>
      <c r="N462" s="112"/>
      <c r="O462" s="113"/>
      <c r="Q462" s="1"/>
      <c r="R462" s="1"/>
      <c r="S462" s="1"/>
      <c r="T462" s="1"/>
      <c r="U462" s="1"/>
      <c r="V462" s="1"/>
    </row>
    <row r="463">
      <c r="D463" s="4"/>
      <c r="E463" s="114"/>
      <c r="F463" s="109"/>
      <c r="H463" s="1"/>
      <c r="I463" s="1"/>
      <c r="L463" s="110"/>
      <c r="M463" s="111"/>
      <c r="N463" s="112"/>
      <c r="O463" s="113"/>
      <c r="Q463" s="1"/>
      <c r="R463" s="1"/>
      <c r="S463" s="1"/>
      <c r="T463" s="1"/>
      <c r="U463" s="1"/>
      <c r="V463" s="1"/>
    </row>
    <row r="464">
      <c r="D464" s="4"/>
      <c r="E464" s="114"/>
      <c r="F464" s="109"/>
      <c r="H464" s="1"/>
      <c r="I464" s="1"/>
      <c r="L464" s="110"/>
      <c r="M464" s="111"/>
      <c r="N464" s="112"/>
      <c r="O464" s="113"/>
      <c r="Q464" s="1"/>
      <c r="R464" s="1"/>
      <c r="S464" s="1"/>
      <c r="T464" s="1"/>
      <c r="U464" s="1"/>
      <c r="V464" s="1"/>
    </row>
    <row r="465">
      <c r="D465" s="4"/>
      <c r="E465" s="114"/>
      <c r="F465" s="109"/>
      <c r="H465" s="1"/>
      <c r="I465" s="1"/>
      <c r="L465" s="110"/>
      <c r="M465" s="111"/>
      <c r="N465" s="112"/>
      <c r="O465" s="113"/>
      <c r="Q465" s="1"/>
      <c r="R465" s="1"/>
      <c r="S465" s="1"/>
      <c r="T465" s="1"/>
      <c r="U465" s="1"/>
      <c r="V465" s="1"/>
    </row>
    <row r="466">
      <c r="D466" s="4"/>
      <c r="E466" s="114"/>
      <c r="F466" s="109"/>
      <c r="H466" s="1"/>
      <c r="I466" s="1"/>
      <c r="L466" s="110"/>
      <c r="M466" s="111"/>
      <c r="N466" s="112"/>
      <c r="O466" s="113"/>
      <c r="Q466" s="1"/>
      <c r="R466" s="1"/>
      <c r="S466" s="1"/>
      <c r="T466" s="1"/>
      <c r="U466" s="1"/>
      <c r="V466" s="1"/>
    </row>
    <row r="467">
      <c r="D467" s="4"/>
      <c r="E467" s="114"/>
      <c r="F467" s="109"/>
      <c r="H467" s="1"/>
      <c r="I467" s="1"/>
      <c r="L467" s="110"/>
      <c r="M467" s="111"/>
      <c r="N467" s="112"/>
      <c r="O467" s="113"/>
      <c r="Q467" s="1"/>
      <c r="R467" s="1"/>
      <c r="S467" s="1"/>
      <c r="T467" s="1"/>
      <c r="U467" s="1"/>
      <c r="V467" s="1"/>
    </row>
    <row r="468">
      <c r="D468" s="4"/>
      <c r="E468" s="114"/>
      <c r="F468" s="109"/>
      <c r="H468" s="1"/>
      <c r="I468" s="1"/>
      <c r="L468" s="110"/>
      <c r="M468" s="111"/>
      <c r="N468" s="112"/>
      <c r="O468" s="113"/>
      <c r="Q468" s="1"/>
      <c r="R468" s="1"/>
      <c r="S468" s="1"/>
      <c r="T468" s="1"/>
      <c r="U468" s="1"/>
      <c r="V468" s="1"/>
    </row>
    <row r="469">
      <c r="D469" s="4"/>
      <c r="E469" s="114"/>
      <c r="F469" s="109"/>
      <c r="H469" s="1"/>
      <c r="I469" s="1"/>
      <c r="L469" s="110"/>
      <c r="M469" s="111"/>
      <c r="N469" s="112"/>
      <c r="O469" s="113"/>
      <c r="Q469" s="1"/>
      <c r="R469" s="1"/>
      <c r="S469" s="1"/>
      <c r="T469" s="1"/>
      <c r="U469" s="1"/>
      <c r="V469" s="1"/>
    </row>
    <row r="470">
      <c r="D470" s="4"/>
      <c r="E470" s="114"/>
      <c r="F470" s="109"/>
      <c r="H470" s="1"/>
      <c r="I470" s="1"/>
      <c r="L470" s="110"/>
      <c r="M470" s="111"/>
      <c r="N470" s="112"/>
      <c r="O470" s="113"/>
      <c r="Q470" s="1"/>
      <c r="R470" s="1"/>
      <c r="S470" s="1"/>
      <c r="T470" s="1"/>
      <c r="U470" s="1"/>
      <c r="V470" s="1"/>
    </row>
    <row r="471">
      <c r="D471" s="4"/>
      <c r="E471" s="114"/>
      <c r="F471" s="109"/>
      <c r="H471" s="1"/>
      <c r="I471" s="1"/>
      <c r="L471" s="110"/>
      <c r="M471" s="111"/>
      <c r="N471" s="112"/>
      <c r="O471" s="113"/>
      <c r="Q471" s="1"/>
      <c r="R471" s="1"/>
      <c r="S471" s="1"/>
      <c r="T471" s="1"/>
      <c r="U471" s="1"/>
      <c r="V471" s="1"/>
    </row>
    <row r="472">
      <c r="D472" s="4"/>
      <c r="E472" s="114"/>
      <c r="F472" s="109"/>
      <c r="H472" s="1"/>
      <c r="I472" s="1"/>
      <c r="L472" s="110"/>
      <c r="M472" s="111"/>
      <c r="N472" s="112"/>
      <c r="O472" s="113"/>
      <c r="Q472" s="1"/>
      <c r="R472" s="1"/>
      <c r="S472" s="1"/>
      <c r="T472" s="1"/>
      <c r="U472" s="1"/>
      <c r="V472" s="1"/>
    </row>
    <row r="473">
      <c r="D473" s="4"/>
      <c r="E473" s="114"/>
      <c r="F473" s="109"/>
      <c r="H473" s="1"/>
      <c r="I473" s="1"/>
      <c r="L473" s="110"/>
      <c r="M473" s="111"/>
      <c r="N473" s="112"/>
      <c r="O473" s="113"/>
      <c r="Q473" s="1"/>
      <c r="R473" s="1"/>
      <c r="S473" s="1"/>
      <c r="T473" s="1"/>
      <c r="U473" s="1"/>
      <c r="V473" s="1"/>
    </row>
    <row r="474">
      <c r="D474" s="4"/>
      <c r="E474" s="114"/>
      <c r="F474" s="109"/>
      <c r="H474" s="1"/>
      <c r="I474" s="1"/>
      <c r="L474" s="110"/>
      <c r="M474" s="111"/>
      <c r="N474" s="112"/>
      <c r="O474" s="113"/>
      <c r="Q474" s="1"/>
      <c r="R474" s="1"/>
      <c r="S474" s="1"/>
      <c r="T474" s="1"/>
      <c r="U474" s="1"/>
      <c r="V474" s="1"/>
    </row>
    <row r="475">
      <c r="D475" s="4"/>
      <c r="E475" s="114"/>
      <c r="F475" s="109"/>
      <c r="H475" s="1"/>
      <c r="I475" s="1"/>
      <c r="L475" s="110"/>
      <c r="M475" s="111"/>
      <c r="N475" s="112"/>
      <c r="O475" s="113"/>
      <c r="Q475" s="1"/>
      <c r="R475" s="1"/>
      <c r="S475" s="1"/>
      <c r="T475" s="1"/>
      <c r="U475" s="1"/>
      <c r="V475" s="1"/>
    </row>
    <row r="476">
      <c r="D476" s="4"/>
      <c r="E476" s="114"/>
      <c r="F476" s="109"/>
      <c r="H476" s="1"/>
      <c r="I476" s="1"/>
      <c r="L476" s="110"/>
      <c r="M476" s="111"/>
      <c r="N476" s="112"/>
      <c r="O476" s="113"/>
      <c r="Q476" s="1"/>
      <c r="R476" s="1"/>
      <c r="S476" s="1"/>
      <c r="T476" s="1"/>
      <c r="U476" s="1"/>
      <c r="V476" s="1"/>
    </row>
    <row r="477">
      <c r="D477" s="4"/>
      <c r="E477" s="114"/>
      <c r="F477" s="109"/>
      <c r="H477" s="1"/>
      <c r="I477" s="1"/>
      <c r="L477" s="110"/>
      <c r="M477" s="111"/>
      <c r="N477" s="112"/>
      <c r="O477" s="113"/>
      <c r="Q477" s="1"/>
      <c r="R477" s="1"/>
      <c r="S477" s="1"/>
      <c r="T477" s="1"/>
      <c r="U477" s="1"/>
      <c r="V477" s="1"/>
    </row>
    <row r="478">
      <c r="D478" s="4"/>
      <c r="E478" s="114"/>
      <c r="F478" s="109"/>
      <c r="H478" s="1"/>
      <c r="I478" s="1"/>
      <c r="L478" s="110"/>
      <c r="M478" s="111"/>
      <c r="N478" s="112"/>
      <c r="O478" s="113"/>
      <c r="Q478" s="1"/>
      <c r="R478" s="1"/>
      <c r="S478" s="1"/>
      <c r="T478" s="1"/>
      <c r="U478" s="1"/>
      <c r="V478" s="1"/>
    </row>
    <row r="479">
      <c r="D479" s="4"/>
      <c r="E479" s="114"/>
      <c r="F479" s="109"/>
      <c r="H479" s="1"/>
      <c r="I479" s="1"/>
      <c r="L479" s="110"/>
      <c r="M479" s="111"/>
      <c r="N479" s="112"/>
      <c r="O479" s="113"/>
      <c r="Q479" s="1"/>
      <c r="R479" s="1"/>
      <c r="S479" s="1"/>
      <c r="T479" s="1"/>
      <c r="U479" s="1"/>
      <c r="V479" s="1"/>
    </row>
    <row r="480">
      <c r="D480" s="4"/>
      <c r="E480" s="114"/>
      <c r="F480" s="109"/>
      <c r="H480" s="1"/>
      <c r="I480" s="1"/>
      <c r="L480" s="110"/>
      <c r="M480" s="111"/>
      <c r="N480" s="112"/>
      <c r="O480" s="113"/>
      <c r="Q480" s="1"/>
      <c r="R480" s="1"/>
      <c r="S480" s="1"/>
      <c r="T480" s="1"/>
      <c r="U480" s="1"/>
      <c r="V480" s="1"/>
    </row>
    <row r="481">
      <c r="D481" s="4"/>
      <c r="E481" s="114"/>
      <c r="F481" s="109"/>
      <c r="H481" s="1"/>
      <c r="I481" s="1"/>
      <c r="L481" s="110"/>
      <c r="M481" s="111"/>
      <c r="N481" s="112"/>
      <c r="O481" s="113"/>
      <c r="Q481" s="1"/>
      <c r="R481" s="1"/>
      <c r="S481" s="1"/>
      <c r="T481" s="1"/>
      <c r="U481" s="1"/>
      <c r="V481" s="1"/>
    </row>
    <row r="482">
      <c r="D482" s="4"/>
      <c r="E482" s="114"/>
      <c r="F482" s="109"/>
      <c r="H482" s="1"/>
      <c r="I482" s="1"/>
      <c r="L482" s="110"/>
      <c r="M482" s="111"/>
      <c r="N482" s="112"/>
      <c r="O482" s="113"/>
      <c r="Q482" s="1"/>
      <c r="R482" s="1"/>
      <c r="S482" s="1"/>
      <c r="T482" s="1"/>
      <c r="U482" s="1"/>
      <c r="V482" s="1"/>
    </row>
    <row r="483">
      <c r="D483" s="4"/>
      <c r="E483" s="114"/>
      <c r="F483" s="109"/>
      <c r="H483" s="1"/>
      <c r="I483" s="1"/>
      <c r="L483" s="110"/>
      <c r="M483" s="111"/>
      <c r="N483" s="112"/>
      <c r="O483" s="113"/>
      <c r="Q483" s="1"/>
      <c r="R483" s="1"/>
      <c r="S483" s="1"/>
      <c r="T483" s="1"/>
      <c r="U483" s="1"/>
      <c r="V483" s="1"/>
    </row>
    <row r="484">
      <c r="D484" s="4"/>
      <c r="E484" s="114"/>
      <c r="F484" s="109"/>
      <c r="H484" s="1"/>
      <c r="I484" s="1"/>
      <c r="L484" s="110"/>
      <c r="M484" s="111"/>
      <c r="N484" s="112"/>
      <c r="O484" s="113"/>
      <c r="Q484" s="1"/>
      <c r="R484" s="1"/>
      <c r="S484" s="1"/>
      <c r="T484" s="1"/>
      <c r="U484" s="1"/>
      <c r="V484" s="1"/>
    </row>
    <row r="485">
      <c r="D485" s="4"/>
      <c r="E485" s="114"/>
      <c r="F485" s="109"/>
      <c r="H485" s="1"/>
      <c r="I485" s="1"/>
      <c r="L485" s="110"/>
      <c r="M485" s="111"/>
      <c r="N485" s="112"/>
      <c r="O485" s="113"/>
      <c r="Q485" s="1"/>
      <c r="R485" s="1"/>
      <c r="S485" s="1"/>
      <c r="T485" s="1"/>
      <c r="U485" s="1"/>
      <c r="V485" s="1"/>
    </row>
    <row r="486">
      <c r="D486" s="4"/>
      <c r="E486" s="114"/>
      <c r="F486" s="109"/>
      <c r="H486" s="1"/>
      <c r="I486" s="1"/>
      <c r="L486" s="110"/>
      <c r="M486" s="111"/>
      <c r="N486" s="112"/>
      <c r="O486" s="113"/>
      <c r="Q486" s="1"/>
      <c r="R486" s="1"/>
      <c r="S486" s="1"/>
      <c r="T486" s="1"/>
      <c r="U486" s="1"/>
      <c r="V486" s="1"/>
    </row>
    <row r="487">
      <c r="D487" s="4"/>
      <c r="E487" s="114"/>
      <c r="F487" s="109"/>
      <c r="H487" s="1"/>
      <c r="I487" s="1"/>
      <c r="L487" s="110"/>
      <c r="M487" s="111"/>
      <c r="N487" s="112"/>
      <c r="O487" s="113"/>
      <c r="Q487" s="1"/>
      <c r="R487" s="1"/>
      <c r="S487" s="1"/>
      <c r="T487" s="1"/>
      <c r="U487" s="1"/>
      <c r="V487" s="1"/>
    </row>
    <row r="488">
      <c r="D488" s="4"/>
      <c r="E488" s="114"/>
      <c r="F488" s="109"/>
      <c r="H488" s="1"/>
      <c r="I488" s="1"/>
      <c r="L488" s="110"/>
      <c r="M488" s="111"/>
      <c r="N488" s="112"/>
      <c r="O488" s="113"/>
      <c r="Q488" s="1"/>
      <c r="R488" s="1"/>
      <c r="S488" s="1"/>
      <c r="T488" s="1"/>
      <c r="U488" s="1"/>
      <c r="V488" s="1"/>
    </row>
    <row r="489">
      <c r="D489" s="4"/>
      <c r="E489" s="114"/>
      <c r="F489" s="109"/>
      <c r="H489" s="1"/>
      <c r="I489" s="1"/>
      <c r="L489" s="110"/>
      <c r="M489" s="111"/>
      <c r="N489" s="112"/>
      <c r="O489" s="113"/>
      <c r="Q489" s="1"/>
      <c r="R489" s="1"/>
      <c r="S489" s="1"/>
      <c r="T489" s="1"/>
      <c r="U489" s="1"/>
      <c r="V489" s="1"/>
    </row>
    <row r="490">
      <c r="D490" s="4"/>
      <c r="E490" s="114"/>
      <c r="F490" s="109"/>
      <c r="H490" s="1"/>
      <c r="I490" s="1"/>
      <c r="L490" s="110"/>
      <c r="M490" s="111"/>
      <c r="N490" s="112"/>
      <c r="O490" s="113"/>
      <c r="Q490" s="1"/>
      <c r="R490" s="1"/>
      <c r="S490" s="1"/>
      <c r="T490" s="1"/>
      <c r="U490" s="1"/>
      <c r="V490" s="1"/>
    </row>
    <row r="491">
      <c r="D491" s="4"/>
      <c r="E491" s="114"/>
      <c r="F491" s="109"/>
      <c r="H491" s="1"/>
      <c r="I491" s="1"/>
      <c r="L491" s="110"/>
      <c r="M491" s="111"/>
      <c r="N491" s="112"/>
      <c r="O491" s="113"/>
      <c r="Q491" s="1"/>
      <c r="R491" s="1"/>
      <c r="S491" s="1"/>
      <c r="T491" s="1"/>
      <c r="U491" s="1"/>
      <c r="V491" s="1"/>
    </row>
    <row r="492">
      <c r="D492" s="4"/>
      <c r="E492" s="114"/>
      <c r="F492" s="109"/>
      <c r="H492" s="1"/>
      <c r="I492" s="1"/>
      <c r="L492" s="110"/>
      <c r="M492" s="111"/>
      <c r="N492" s="112"/>
      <c r="O492" s="113"/>
      <c r="Q492" s="1"/>
      <c r="R492" s="1"/>
      <c r="S492" s="1"/>
      <c r="T492" s="1"/>
      <c r="U492" s="1"/>
      <c r="V492" s="1"/>
    </row>
    <row r="493">
      <c r="D493" s="4"/>
      <c r="E493" s="114"/>
      <c r="F493" s="109"/>
      <c r="H493" s="1"/>
      <c r="I493" s="1"/>
      <c r="L493" s="110"/>
      <c r="M493" s="111"/>
      <c r="N493" s="112"/>
      <c r="O493" s="113"/>
      <c r="Q493" s="1"/>
      <c r="R493" s="1"/>
      <c r="S493" s="1"/>
      <c r="T493" s="1"/>
      <c r="U493" s="1"/>
      <c r="V493" s="1"/>
    </row>
    <row r="494">
      <c r="D494" s="4"/>
      <c r="E494" s="114"/>
      <c r="F494" s="109"/>
      <c r="H494" s="1"/>
      <c r="I494" s="1"/>
      <c r="L494" s="110"/>
      <c r="M494" s="111"/>
      <c r="N494" s="112"/>
      <c r="O494" s="113"/>
      <c r="Q494" s="1"/>
      <c r="R494" s="1"/>
      <c r="S494" s="1"/>
      <c r="T494" s="1"/>
      <c r="U494" s="1"/>
      <c r="V494" s="1"/>
    </row>
    <row r="495">
      <c r="D495" s="4"/>
      <c r="E495" s="114"/>
      <c r="F495" s="109"/>
      <c r="H495" s="1"/>
      <c r="I495" s="1"/>
      <c r="L495" s="110"/>
      <c r="M495" s="111"/>
      <c r="N495" s="112"/>
      <c r="O495" s="113"/>
      <c r="Q495" s="1"/>
      <c r="R495" s="1"/>
      <c r="S495" s="1"/>
      <c r="T495" s="1"/>
      <c r="U495" s="1"/>
      <c r="V495" s="1"/>
    </row>
    <row r="496">
      <c r="D496" s="4"/>
      <c r="E496" s="114"/>
      <c r="F496" s="109"/>
      <c r="H496" s="1"/>
      <c r="I496" s="1"/>
      <c r="L496" s="110"/>
      <c r="M496" s="111"/>
      <c r="N496" s="112"/>
      <c r="O496" s="113"/>
      <c r="Q496" s="1"/>
      <c r="R496" s="1"/>
      <c r="S496" s="1"/>
      <c r="T496" s="1"/>
      <c r="U496" s="1"/>
      <c r="V496" s="1"/>
    </row>
    <row r="497">
      <c r="D497" s="4"/>
      <c r="E497" s="114"/>
      <c r="F497" s="109"/>
      <c r="H497" s="1"/>
      <c r="I497" s="1"/>
      <c r="L497" s="110"/>
      <c r="M497" s="111"/>
      <c r="N497" s="112"/>
      <c r="O497" s="113"/>
      <c r="Q497" s="1"/>
      <c r="R497" s="1"/>
      <c r="S497" s="1"/>
      <c r="T497" s="1"/>
      <c r="U497" s="1"/>
      <c r="V497" s="1"/>
    </row>
    <row r="498">
      <c r="D498" s="4"/>
      <c r="E498" s="114"/>
      <c r="F498" s="109"/>
      <c r="H498" s="1"/>
      <c r="I498" s="1"/>
      <c r="L498" s="110"/>
      <c r="M498" s="111"/>
      <c r="N498" s="112"/>
      <c r="O498" s="113"/>
      <c r="Q498" s="1"/>
      <c r="R498" s="1"/>
      <c r="S498" s="1"/>
      <c r="T498" s="1"/>
      <c r="U498" s="1"/>
      <c r="V498" s="1"/>
    </row>
    <row r="499">
      <c r="D499" s="4"/>
      <c r="E499" s="114"/>
      <c r="F499" s="109"/>
      <c r="H499" s="1"/>
      <c r="I499" s="1"/>
      <c r="L499" s="110"/>
      <c r="M499" s="111"/>
      <c r="N499" s="112"/>
      <c r="O499" s="113"/>
      <c r="Q499" s="1"/>
      <c r="R499" s="1"/>
      <c r="S499" s="1"/>
      <c r="T499" s="1"/>
      <c r="U499" s="1"/>
      <c r="V499" s="1"/>
    </row>
    <row r="500">
      <c r="D500" s="4"/>
      <c r="E500" s="114"/>
      <c r="F500" s="109"/>
      <c r="H500" s="1"/>
      <c r="I500" s="1"/>
      <c r="L500" s="110"/>
      <c r="M500" s="111"/>
      <c r="N500" s="112"/>
      <c r="O500" s="113"/>
      <c r="Q500" s="1"/>
      <c r="R500" s="1"/>
      <c r="S500" s="1"/>
      <c r="T500" s="1"/>
      <c r="U500" s="1"/>
      <c r="V500" s="1"/>
    </row>
    <row r="501">
      <c r="D501" s="4"/>
      <c r="E501" s="114"/>
      <c r="F501" s="109"/>
      <c r="H501" s="1"/>
      <c r="I501" s="1"/>
      <c r="L501" s="110"/>
      <c r="M501" s="111"/>
      <c r="N501" s="112"/>
      <c r="O501" s="113"/>
      <c r="Q501" s="1"/>
      <c r="R501" s="1"/>
      <c r="S501" s="1"/>
      <c r="T501" s="1"/>
      <c r="U501" s="1"/>
      <c r="V501" s="1"/>
    </row>
    <row r="502">
      <c r="D502" s="4"/>
      <c r="E502" s="114"/>
      <c r="F502" s="109"/>
      <c r="H502" s="1"/>
      <c r="I502" s="1"/>
      <c r="L502" s="110"/>
      <c r="M502" s="111"/>
      <c r="N502" s="112"/>
      <c r="O502" s="113"/>
      <c r="Q502" s="1"/>
      <c r="R502" s="1"/>
      <c r="S502" s="1"/>
      <c r="T502" s="1"/>
      <c r="U502" s="1"/>
      <c r="V502" s="1"/>
    </row>
    <row r="503">
      <c r="D503" s="4"/>
      <c r="E503" s="114"/>
      <c r="F503" s="109"/>
      <c r="H503" s="1"/>
      <c r="I503" s="1"/>
      <c r="L503" s="110"/>
      <c r="M503" s="111"/>
      <c r="N503" s="112"/>
      <c r="O503" s="113"/>
      <c r="Q503" s="1"/>
      <c r="R503" s="1"/>
      <c r="S503" s="1"/>
      <c r="T503" s="1"/>
      <c r="U503" s="1"/>
      <c r="V503" s="1"/>
    </row>
    <row r="504">
      <c r="D504" s="4"/>
      <c r="E504" s="114"/>
      <c r="F504" s="109"/>
      <c r="H504" s="1"/>
      <c r="I504" s="1"/>
      <c r="L504" s="110"/>
      <c r="M504" s="111"/>
      <c r="N504" s="112"/>
      <c r="O504" s="113"/>
      <c r="Q504" s="1"/>
      <c r="R504" s="1"/>
      <c r="S504" s="1"/>
      <c r="T504" s="1"/>
      <c r="U504" s="1"/>
      <c r="V504" s="1"/>
    </row>
    <row r="505">
      <c r="D505" s="4"/>
      <c r="E505" s="114"/>
      <c r="F505" s="109"/>
      <c r="H505" s="1"/>
      <c r="I505" s="1"/>
      <c r="L505" s="110"/>
      <c r="M505" s="111"/>
      <c r="N505" s="112"/>
      <c r="O505" s="113"/>
      <c r="Q505" s="1"/>
      <c r="R505" s="1"/>
      <c r="S505" s="1"/>
      <c r="T505" s="1"/>
      <c r="U505" s="1"/>
      <c r="V505" s="1"/>
    </row>
    <row r="506">
      <c r="D506" s="4"/>
      <c r="E506" s="114"/>
      <c r="F506" s="109"/>
      <c r="H506" s="1"/>
      <c r="I506" s="1"/>
      <c r="L506" s="110"/>
      <c r="M506" s="111"/>
      <c r="N506" s="112"/>
      <c r="O506" s="113"/>
      <c r="Q506" s="1"/>
      <c r="R506" s="1"/>
      <c r="S506" s="1"/>
      <c r="T506" s="1"/>
      <c r="U506" s="1"/>
      <c r="V506" s="1"/>
    </row>
    <row r="507">
      <c r="D507" s="4"/>
      <c r="E507" s="114"/>
      <c r="F507" s="109"/>
      <c r="H507" s="1"/>
      <c r="I507" s="1"/>
      <c r="L507" s="110"/>
      <c r="M507" s="111"/>
      <c r="N507" s="112"/>
      <c r="O507" s="113"/>
      <c r="Q507" s="1"/>
      <c r="R507" s="1"/>
      <c r="S507" s="1"/>
      <c r="T507" s="1"/>
      <c r="U507" s="1"/>
      <c r="V507" s="1"/>
    </row>
    <row r="508">
      <c r="D508" s="4"/>
      <c r="E508" s="114"/>
      <c r="F508" s="109"/>
      <c r="H508" s="1"/>
      <c r="I508" s="1"/>
      <c r="L508" s="110"/>
      <c r="M508" s="111"/>
      <c r="N508" s="112"/>
      <c r="O508" s="113"/>
      <c r="Q508" s="1"/>
      <c r="R508" s="1"/>
      <c r="S508" s="1"/>
      <c r="T508" s="1"/>
      <c r="U508" s="1"/>
      <c r="V508" s="1"/>
    </row>
    <row r="509">
      <c r="D509" s="4"/>
      <c r="E509" s="114"/>
      <c r="F509" s="109"/>
      <c r="H509" s="1"/>
      <c r="I509" s="1"/>
      <c r="L509" s="110"/>
      <c r="M509" s="111"/>
      <c r="N509" s="112"/>
      <c r="O509" s="113"/>
      <c r="Q509" s="1"/>
      <c r="R509" s="1"/>
      <c r="S509" s="1"/>
      <c r="T509" s="1"/>
      <c r="U509" s="1"/>
      <c r="V509" s="1"/>
    </row>
    <row r="510">
      <c r="D510" s="4"/>
      <c r="E510" s="114"/>
      <c r="F510" s="109"/>
      <c r="H510" s="1"/>
      <c r="I510" s="1"/>
      <c r="L510" s="110"/>
      <c r="M510" s="111"/>
      <c r="N510" s="112"/>
      <c r="O510" s="113"/>
      <c r="Q510" s="1"/>
      <c r="R510" s="1"/>
      <c r="S510" s="1"/>
      <c r="T510" s="1"/>
      <c r="U510" s="1"/>
      <c r="V510" s="1"/>
    </row>
    <row r="511">
      <c r="D511" s="4"/>
      <c r="E511" s="114"/>
      <c r="F511" s="109"/>
      <c r="H511" s="1"/>
      <c r="I511" s="1"/>
      <c r="L511" s="110"/>
      <c r="M511" s="111"/>
      <c r="N511" s="112"/>
      <c r="O511" s="113"/>
      <c r="Q511" s="1"/>
      <c r="R511" s="1"/>
      <c r="S511" s="1"/>
      <c r="T511" s="1"/>
      <c r="U511" s="1"/>
      <c r="V511" s="1"/>
    </row>
    <row r="512">
      <c r="D512" s="4"/>
      <c r="E512" s="114"/>
      <c r="F512" s="109"/>
      <c r="H512" s="1"/>
      <c r="I512" s="1"/>
      <c r="L512" s="110"/>
      <c r="M512" s="111"/>
      <c r="N512" s="112"/>
      <c r="O512" s="113"/>
      <c r="Q512" s="1"/>
      <c r="R512" s="1"/>
      <c r="S512" s="1"/>
      <c r="T512" s="1"/>
      <c r="U512" s="1"/>
      <c r="V512" s="1"/>
    </row>
    <row r="513">
      <c r="D513" s="4"/>
      <c r="E513" s="114"/>
      <c r="F513" s="109"/>
      <c r="H513" s="1"/>
      <c r="I513" s="1"/>
      <c r="L513" s="110"/>
      <c r="M513" s="111"/>
      <c r="N513" s="112"/>
      <c r="O513" s="113"/>
      <c r="Q513" s="1"/>
      <c r="R513" s="1"/>
      <c r="S513" s="1"/>
      <c r="T513" s="1"/>
      <c r="U513" s="1"/>
      <c r="V513" s="1"/>
    </row>
    <row r="514">
      <c r="D514" s="4"/>
      <c r="E514" s="114"/>
      <c r="F514" s="109"/>
      <c r="H514" s="1"/>
      <c r="I514" s="1"/>
      <c r="L514" s="110"/>
      <c r="M514" s="111"/>
      <c r="N514" s="112"/>
      <c r="O514" s="113"/>
      <c r="Q514" s="1"/>
      <c r="R514" s="1"/>
      <c r="S514" s="1"/>
      <c r="T514" s="1"/>
      <c r="U514" s="1"/>
      <c r="V514" s="1"/>
    </row>
    <row r="515">
      <c r="D515" s="4"/>
      <c r="E515" s="114"/>
      <c r="F515" s="109"/>
      <c r="H515" s="1"/>
      <c r="I515" s="1"/>
      <c r="L515" s="110"/>
      <c r="M515" s="111"/>
      <c r="N515" s="112"/>
      <c r="O515" s="113"/>
      <c r="Q515" s="1"/>
      <c r="R515" s="1"/>
      <c r="S515" s="1"/>
      <c r="T515" s="1"/>
      <c r="U515" s="1"/>
      <c r="V515" s="1"/>
    </row>
    <row r="516">
      <c r="D516" s="4"/>
      <c r="E516" s="114"/>
      <c r="F516" s="109"/>
      <c r="H516" s="1"/>
      <c r="I516" s="1"/>
      <c r="L516" s="110"/>
      <c r="M516" s="111"/>
      <c r="N516" s="112"/>
      <c r="O516" s="113"/>
      <c r="Q516" s="1"/>
      <c r="R516" s="1"/>
      <c r="S516" s="1"/>
      <c r="T516" s="1"/>
      <c r="U516" s="1"/>
      <c r="V516" s="1"/>
    </row>
    <row r="517">
      <c r="D517" s="4"/>
      <c r="E517" s="114"/>
      <c r="F517" s="109"/>
      <c r="H517" s="1"/>
      <c r="I517" s="1"/>
      <c r="L517" s="110"/>
      <c r="M517" s="111"/>
      <c r="N517" s="112"/>
      <c r="O517" s="113"/>
      <c r="Q517" s="1"/>
      <c r="R517" s="1"/>
      <c r="S517" s="1"/>
      <c r="T517" s="1"/>
      <c r="U517" s="1"/>
      <c r="V517" s="1"/>
    </row>
    <row r="518">
      <c r="D518" s="4"/>
      <c r="E518" s="114"/>
      <c r="F518" s="109"/>
      <c r="H518" s="1"/>
      <c r="I518" s="1"/>
      <c r="L518" s="110"/>
      <c r="M518" s="111"/>
      <c r="N518" s="112"/>
      <c r="O518" s="113"/>
      <c r="Q518" s="1"/>
      <c r="R518" s="1"/>
      <c r="S518" s="1"/>
      <c r="T518" s="1"/>
      <c r="U518" s="1"/>
      <c r="V518" s="1"/>
    </row>
    <row r="519">
      <c r="D519" s="4"/>
      <c r="E519" s="114"/>
      <c r="F519" s="109"/>
      <c r="H519" s="1"/>
      <c r="I519" s="1"/>
      <c r="L519" s="110"/>
      <c r="M519" s="111"/>
      <c r="N519" s="112"/>
      <c r="O519" s="113"/>
      <c r="Q519" s="1"/>
      <c r="R519" s="1"/>
      <c r="S519" s="1"/>
      <c r="T519" s="1"/>
      <c r="U519" s="1"/>
      <c r="V519" s="1"/>
    </row>
    <row r="520">
      <c r="D520" s="4"/>
      <c r="E520" s="114"/>
      <c r="F520" s="109"/>
      <c r="H520" s="1"/>
      <c r="I520" s="1"/>
      <c r="L520" s="110"/>
      <c r="M520" s="111"/>
      <c r="N520" s="112"/>
      <c r="O520" s="113"/>
      <c r="Q520" s="1"/>
      <c r="R520" s="1"/>
      <c r="S520" s="1"/>
      <c r="T520" s="1"/>
      <c r="U520" s="1"/>
      <c r="V520" s="1"/>
    </row>
    <row r="521">
      <c r="D521" s="4"/>
      <c r="E521" s="114"/>
      <c r="F521" s="109"/>
      <c r="H521" s="1"/>
      <c r="I521" s="1"/>
      <c r="L521" s="110"/>
      <c r="M521" s="111"/>
      <c r="N521" s="112"/>
      <c r="O521" s="113"/>
      <c r="Q521" s="1"/>
      <c r="R521" s="1"/>
      <c r="S521" s="1"/>
      <c r="T521" s="1"/>
      <c r="U521" s="1"/>
      <c r="V521" s="1"/>
    </row>
    <row r="522">
      <c r="D522" s="4"/>
      <c r="E522" s="114"/>
      <c r="F522" s="109"/>
      <c r="H522" s="1"/>
      <c r="I522" s="1"/>
      <c r="L522" s="110"/>
      <c r="M522" s="111"/>
      <c r="N522" s="112"/>
      <c r="O522" s="113"/>
      <c r="Q522" s="1"/>
      <c r="R522" s="1"/>
      <c r="S522" s="1"/>
      <c r="T522" s="1"/>
      <c r="U522" s="1"/>
      <c r="V522" s="1"/>
    </row>
    <row r="523">
      <c r="D523" s="4"/>
      <c r="E523" s="114"/>
      <c r="F523" s="109"/>
      <c r="H523" s="1"/>
      <c r="I523" s="1"/>
      <c r="L523" s="110"/>
      <c r="M523" s="111"/>
      <c r="N523" s="112"/>
      <c r="O523" s="113"/>
      <c r="Q523" s="1"/>
      <c r="R523" s="1"/>
      <c r="S523" s="1"/>
      <c r="T523" s="1"/>
      <c r="U523" s="1"/>
      <c r="V523" s="1"/>
    </row>
    <row r="524">
      <c r="D524" s="4"/>
      <c r="E524" s="114"/>
      <c r="F524" s="109"/>
      <c r="H524" s="1"/>
      <c r="I524" s="1"/>
      <c r="L524" s="110"/>
      <c r="M524" s="111"/>
      <c r="N524" s="112"/>
      <c r="O524" s="113"/>
      <c r="Q524" s="1"/>
      <c r="R524" s="1"/>
      <c r="S524" s="1"/>
      <c r="T524" s="1"/>
      <c r="U524" s="1"/>
      <c r="V524" s="1"/>
    </row>
    <row r="525">
      <c r="D525" s="4"/>
      <c r="E525" s="114"/>
      <c r="F525" s="109"/>
      <c r="H525" s="1"/>
      <c r="I525" s="1"/>
      <c r="L525" s="110"/>
      <c r="M525" s="111"/>
      <c r="N525" s="112"/>
      <c r="O525" s="113"/>
      <c r="Q525" s="1"/>
      <c r="R525" s="1"/>
      <c r="S525" s="1"/>
      <c r="T525" s="1"/>
      <c r="U525" s="1"/>
      <c r="V525" s="1"/>
    </row>
    <row r="526">
      <c r="D526" s="4"/>
      <c r="E526" s="114"/>
      <c r="F526" s="109"/>
      <c r="H526" s="1"/>
      <c r="I526" s="1"/>
      <c r="L526" s="110"/>
      <c r="M526" s="111"/>
      <c r="N526" s="112"/>
      <c r="O526" s="113"/>
      <c r="Q526" s="1"/>
      <c r="R526" s="1"/>
      <c r="S526" s="1"/>
      <c r="T526" s="1"/>
      <c r="U526" s="1"/>
      <c r="V526" s="1"/>
    </row>
    <row r="527">
      <c r="D527" s="4"/>
      <c r="E527" s="114"/>
      <c r="F527" s="109"/>
      <c r="H527" s="1"/>
      <c r="I527" s="1"/>
      <c r="L527" s="110"/>
      <c r="M527" s="111"/>
      <c r="N527" s="112"/>
      <c r="O527" s="113"/>
      <c r="Q527" s="1"/>
      <c r="R527" s="1"/>
      <c r="S527" s="1"/>
      <c r="T527" s="1"/>
      <c r="U527" s="1"/>
      <c r="V527" s="1"/>
    </row>
    <row r="528">
      <c r="D528" s="4"/>
      <c r="E528" s="114"/>
      <c r="F528" s="109"/>
      <c r="H528" s="1"/>
      <c r="I528" s="1"/>
      <c r="L528" s="110"/>
      <c r="M528" s="111"/>
      <c r="N528" s="112"/>
      <c r="O528" s="113"/>
      <c r="Q528" s="1"/>
      <c r="R528" s="1"/>
      <c r="S528" s="1"/>
      <c r="T528" s="1"/>
      <c r="U528" s="1"/>
      <c r="V528" s="1"/>
    </row>
    <row r="529">
      <c r="D529" s="4"/>
      <c r="E529" s="114"/>
      <c r="F529" s="109"/>
      <c r="H529" s="1"/>
      <c r="I529" s="1"/>
      <c r="L529" s="110"/>
      <c r="M529" s="111"/>
      <c r="N529" s="112"/>
      <c r="O529" s="113"/>
      <c r="Q529" s="1"/>
      <c r="R529" s="1"/>
      <c r="S529" s="1"/>
      <c r="T529" s="1"/>
      <c r="U529" s="1"/>
      <c r="V529" s="1"/>
    </row>
    <row r="530">
      <c r="D530" s="4"/>
      <c r="E530" s="114"/>
      <c r="F530" s="109"/>
      <c r="H530" s="1"/>
      <c r="I530" s="1"/>
      <c r="L530" s="110"/>
      <c r="M530" s="111"/>
      <c r="N530" s="112"/>
      <c r="O530" s="113"/>
      <c r="Q530" s="1"/>
      <c r="R530" s="1"/>
      <c r="S530" s="1"/>
      <c r="T530" s="1"/>
      <c r="U530" s="1"/>
      <c r="V530" s="1"/>
    </row>
    <row r="531">
      <c r="D531" s="4"/>
      <c r="E531" s="114"/>
      <c r="F531" s="109"/>
      <c r="H531" s="1"/>
      <c r="I531" s="1"/>
      <c r="L531" s="110"/>
      <c r="M531" s="111"/>
      <c r="N531" s="112"/>
      <c r="O531" s="113"/>
      <c r="Q531" s="1"/>
      <c r="R531" s="1"/>
      <c r="S531" s="1"/>
      <c r="T531" s="1"/>
      <c r="U531" s="1"/>
      <c r="V531" s="1"/>
    </row>
    <row r="532">
      <c r="D532" s="4"/>
      <c r="E532" s="114"/>
      <c r="F532" s="109"/>
      <c r="H532" s="1"/>
      <c r="I532" s="1"/>
      <c r="L532" s="110"/>
      <c r="M532" s="111"/>
      <c r="N532" s="112"/>
      <c r="O532" s="113"/>
      <c r="Q532" s="1"/>
      <c r="R532" s="1"/>
      <c r="S532" s="1"/>
      <c r="T532" s="1"/>
      <c r="U532" s="1"/>
      <c r="V532" s="1"/>
    </row>
    <row r="533">
      <c r="D533" s="4"/>
      <c r="E533" s="114"/>
      <c r="F533" s="109"/>
      <c r="H533" s="1"/>
      <c r="I533" s="1"/>
      <c r="L533" s="110"/>
      <c r="M533" s="111"/>
      <c r="N533" s="112"/>
      <c r="O533" s="113"/>
      <c r="Q533" s="1"/>
      <c r="R533" s="1"/>
      <c r="S533" s="1"/>
      <c r="T533" s="1"/>
      <c r="U533" s="1"/>
      <c r="V533" s="1"/>
    </row>
    <row r="534">
      <c r="D534" s="4"/>
      <c r="E534" s="114"/>
      <c r="F534" s="109"/>
      <c r="H534" s="1"/>
      <c r="I534" s="1"/>
      <c r="L534" s="110"/>
      <c r="M534" s="111"/>
      <c r="N534" s="112"/>
      <c r="O534" s="113"/>
      <c r="Q534" s="1"/>
      <c r="R534" s="1"/>
      <c r="S534" s="1"/>
      <c r="T534" s="1"/>
      <c r="U534" s="1"/>
      <c r="V534" s="1"/>
    </row>
    <row r="535">
      <c r="D535" s="4"/>
      <c r="E535" s="114"/>
      <c r="F535" s="109"/>
      <c r="H535" s="1"/>
      <c r="I535" s="1"/>
      <c r="L535" s="110"/>
      <c r="M535" s="111"/>
      <c r="N535" s="112"/>
      <c r="O535" s="113"/>
      <c r="Q535" s="1"/>
      <c r="R535" s="1"/>
      <c r="S535" s="1"/>
      <c r="T535" s="1"/>
      <c r="U535" s="1"/>
      <c r="V535" s="1"/>
    </row>
    <row r="536">
      <c r="D536" s="4"/>
      <c r="E536" s="114"/>
      <c r="F536" s="109"/>
      <c r="H536" s="1"/>
      <c r="I536" s="1"/>
      <c r="L536" s="110"/>
      <c r="M536" s="111"/>
      <c r="N536" s="112"/>
      <c r="O536" s="113"/>
      <c r="Q536" s="1"/>
      <c r="R536" s="1"/>
      <c r="S536" s="1"/>
      <c r="T536" s="1"/>
      <c r="U536" s="1"/>
      <c r="V536" s="1"/>
    </row>
    <row r="537">
      <c r="D537" s="4"/>
      <c r="E537" s="114"/>
      <c r="F537" s="109"/>
      <c r="H537" s="1"/>
      <c r="I537" s="1"/>
      <c r="L537" s="110"/>
      <c r="M537" s="111"/>
      <c r="N537" s="112"/>
      <c r="O537" s="113"/>
      <c r="Q537" s="1"/>
      <c r="R537" s="1"/>
      <c r="S537" s="1"/>
      <c r="T537" s="1"/>
      <c r="U537" s="1"/>
      <c r="V537" s="1"/>
    </row>
    <row r="538">
      <c r="D538" s="4"/>
      <c r="E538" s="114"/>
      <c r="F538" s="109"/>
      <c r="H538" s="1"/>
      <c r="I538" s="1"/>
      <c r="L538" s="110"/>
      <c r="M538" s="111"/>
      <c r="N538" s="112"/>
      <c r="O538" s="113"/>
      <c r="Q538" s="1"/>
      <c r="R538" s="1"/>
      <c r="S538" s="1"/>
      <c r="T538" s="1"/>
      <c r="U538" s="1"/>
      <c r="V538" s="1"/>
    </row>
    <row r="539">
      <c r="D539" s="4"/>
      <c r="E539" s="114"/>
      <c r="F539" s="109"/>
      <c r="H539" s="1"/>
      <c r="I539" s="1"/>
      <c r="L539" s="110"/>
      <c r="M539" s="111"/>
      <c r="N539" s="112"/>
      <c r="O539" s="113"/>
      <c r="Q539" s="1"/>
      <c r="R539" s="1"/>
      <c r="S539" s="1"/>
      <c r="T539" s="1"/>
      <c r="U539" s="1"/>
      <c r="V539" s="1"/>
    </row>
    <row r="540">
      <c r="D540" s="4"/>
      <c r="E540" s="114"/>
      <c r="F540" s="109"/>
      <c r="H540" s="1"/>
      <c r="I540" s="1"/>
      <c r="L540" s="110"/>
      <c r="M540" s="111"/>
      <c r="N540" s="112"/>
      <c r="O540" s="113"/>
      <c r="Q540" s="1"/>
      <c r="R540" s="1"/>
      <c r="S540" s="1"/>
      <c r="T540" s="1"/>
      <c r="U540" s="1"/>
      <c r="V540" s="1"/>
    </row>
    <row r="541">
      <c r="D541" s="4"/>
      <c r="E541" s="114"/>
      <c r="F541" s="109"/>
      <c r="H541" s="1"/>
      <c r="I541" s="1"/>
      <c r="L541" s="110"/>
      <c r="M541" s="111"/>
      <c r="N541" s="112"/>
      <c r="O541" s="113"/>
      <c r="Q541" s="1"/>
      <c r="R541" s="1"/>
      <c r="S541" s="1"/>
      <c r="T541" s="1"/>
      <c r="U541" s="1"/>
      <c r="V541" s="1"/>
    </row>
    <row r="542">
      <c r="D542" s="4"/>
      <c r="E542" s="114"/>
      <c r="F542" s="109"/>
      <c r="H542" s="1"/>
      <c r="I542" s="1"/>
      <c r="L542" s="110"/>
      <c r="M542" s="111"/>
      <c r="N542" s="112"/>
      <c r="O542" s="113"/>
      <c r="Q542" s="1"/>
      <c r="R542" s="1"/>
      <c r="S542" s="1"/>
      <c r="T542" s="1"/>
      <c r="U542" s="1"/>
      <c r="V542" s="1"/>
    </row>
    <row r="543">
      <c r="D543" s="4"/>
      <c r="E543" s="114"/>
      <c r="F543" s="109"/>
      <c r="H543" s="1"/>
      <c r="I543" s="1"/>
      <c r="L543" s="110"/>
      <c r="M543" s="111"/>
      <c r="N543" s="112"/>
      <c r="O543" s="113"/>
      <c r="Q543" s="1"/>
      <c r="R543" s="1"/>
      <c r="S543" s="1"/>
      <c r="T543" s="1"/>
      <c r="U543" s="1"/>
      <c r="V543" s="1"/>
    </row>
    <row r="544">
      <c r="D544" s="4"/>
      <c r="E544" s="114"/>
      <c r="F544" s="109"/>
      <c r="H544" s="1"/>
      <c r="I544" s="1"/>
      <c r="L544" s="110"/>
      <c r="M544" s="111"/>
      <c r="N544" s="112"/>
      <c r="O544" s="113"/>
      <c r="Q544" s="1"/>
      <c r="R544" s="1"/>
      <c r="S544" s="1"/>
      <c r="T544" s="1"/>
      <c r="U544" s="1"/>
      <c r="V544" s="1"/>
    </row>
    <row r="545">
      <c r="D545" s="4"/>
      <c r="E545" s="114"/>
      <c r="F545" s="109"/>
      <c r="H545" s="1"/>
      <c r="I545" s="1"/>
      <c r="L545" s="110"/>
      <c r="M545" s="111"/>
      <c r="N545" s="112"/>
      <c r="O545" s="113"/>
      <c r="Q545" s="1"/>
      <c r="R545" s="1"/>
      <c r="S545" s="1"/>
      <c r="T545" s="1"/>
      <c r="U545" s="1"/>
      <c r="V545" s="1"/>
    </row>
    <row r="546">
      <c r="D546" s="4"/>
      <c r="E546" s="114"/>
      <c r="F546" s="109"/>
      <c r="H546" s="1"/>
      <c r="I546" s="1"/>
      <c r="L546" s="110"/>
      <c r="M546" s="111"/>
      <c r="N546" s="112"/>
      <c r="O546" s="113"/>
      <c r="Q546" s="1"/>
      <c r="R546" s="1"/>
      <c r="S546" s="1"/>
      <c r="T546" s="1"/>
      <c r="U546" s="1"/>
      <c r="V546" s="1"/>
    </row>
    <row r="547">
      <c r="D547" s="4"/>
      <c r="E547" s="114"/>
      <c r="F547" s="109"/>
      <c r="H547" s="1"/>
      <c r="I547" s="1"/>
      <c r="L547" s="110"/>
      <c r="M547" s="111"/>
      <c r="N547" s="112"/>
      <c r="O547" s="113"/>
      <c r="Q547" s="1"/>
      <c r="R547" s="1"/>
      <c r="S547" s="1"/>
      <c r="T547" s="1"/>
      <c r="U547" s="1"/>
      <c r="V547" s="1"/>
    </row>
    <row r="548">
      <c r="D548" s="4"/>
      <c r="E548" s="114"/>
      <c r="F548" s="109"/>
      <c r="H548" s="1"/>
      <c r="I548" s="1"/>
      <c r="L548" s="110"/>
      <c r="M548" s="111"/>
      <c r="N548" s="112"/>
      <c r="O548" s="113"/>
      <c r="Q548" s="1"/>
      <c r="R548" s="1"/>
      <c r="S548" s="1"/>
      <c r="T548" s="1"/>
      <c r="U548" s="1"/>
      <c r="V548" s="1"/>
    </row>
    <row r="549">
      <c r="D549" s="4"/>
      <c r="E549" s="114"/>
      <c r="F549" s="109"/>
      <c r="H549" s="1"/>
      <c r="I549" s="1"/>
      <c r="L549" s="110"/>
      <c r="M549" s="111"/>
      <c r="N549" s="112"/>
      <c r="O549" s="113"/>
      <c r="Q549" s="1"/>
      <c r="R549" s="1"/>
      <c r="S549" s="1"/>
      <c r="T549" s="1"/>
      <c r="U549" s="1"/>
      <c r="V549" s="1"/>
    </row>
    <row r="550">
      <c r="D550" s="4"/>
      <c r="E550" s="114"/>
      <c r="F550" s="109"/>
      <c r="H550" s="1"/>
      <c r="I550" s="1"/>
      <c r="L550" s="110"/>
      <c r="M550" s="111"/>
      <c r="N550" s="112"/>
      <c r="O550" s="113"/>
      <c r="Q550" s="1"/>
      <c r="R550" s="1"/>
      <c r="S550" s="1"/>
      <c r="T550" s="1"/>
      <c r="U550" s="1"/>
      <c r="V550" s="1"/>
    </row>
    <row r="551">
      <c r="D551" s="4"/>
      <c r="E551" s="114"/>
      <c r="F551" s="109"/>
      <c r="H551" s="1"/>
      <c r="I551" s="1"/>
      <c r="L551" s="110"/>
      <c r="M551" s="111"/>
      <c r="N551" s="112"/>
      <c r="O551" s="113"/>
      <c r="Q551" s="1"/>
      <c r="R551" s="1"/>
      <c r="S551" s="1"/>
      <c r="T551" s="1"/>
      <c r="U551" s="1"/>
      <c r="V551" s="1"/>
    </row>
    <row r="552">
      <c r="D552" s="4"/>
      <c r="E552" s="114"/>
      <c r="F552" s="109"/>
      <c r="H552" s="1"/>
      <c r="I552" s="1"/>
      <c r="L552" s="110"/>
      <c r="M552" s="111"/>
      <c r="N552" s="112"/>
      <c r="O552" s="113"/>
      <c r="Q552" s="1"/>
      <c r="R552" s="1"/>
      <c r="S552" s="1"/>
      <c r="T552" s="1"/>
      <c r="U552" s="1"/>
      <c r="V552" s="1"/>
    </row>
    <row r="553">
      <c r="D553" s="4"/>
      <c r="E553" s="114"/>
      <c r="F553" s="109"/>
      <c r="H553" s="1"/>
      <c r="I553" s="1"/>
      <c r="L553" s="110"/>
      <c r="M553" s="111"/>
      <c r="N553" s="112"/>
      <c r="O553" s="113"/>
      <c r="Q553" s="1"/>
      <c r="R553" s="1"/>
      <c r="S553" s="1"/>
      <c r="T553" s="1"/>
      <c r="U553" s="1"/>
      <c r="V553" s="1"/>
    </row>
    <row r="554">
      <c r="D554" s="4"/>
      <c r="E554" s="114"/>
      <c r="F554" s="109"/>
      <c r="H554" s="1"/>
      <c r="I554" s="1"/>
      <c r="L554" s="110"/>
      <c r="M554" s="111"/>
      <c r="N554" s="112"/>
      <c r="O554" s="113"/>
      <c r="Q554" s="1"/>
      <c r="R554" s="1"/>
      <c r="S554" s="1"/>
      <c r="T554" s="1"/>
      <c r="U554" s="1"/>
      <c r="V554" s="1"/>
    </row>
    <row r="555">
      <c r="D555" s="4"/>
      <c r="E555" s="114"/>
      <c r="F555" s="109"/>
      <c r="H555" s="1"/>
      <c r="I555" s="1"/>
      <c r="L555" s="110"/>
      <c r="M555" s="111"/>
      <c r="N555" s="112"/>
      <c r="O555" s="113"/>
      <c r="Q555" s="1"/>
      <c r="R555" s="1"/>
      <c r="S555" s="1"/>
      <c r="T555" s="1"/>
      <c r="U555" s="1"/>
      <c r="V555" s="1"/>
    </row>
    <row r="556">
      <c r="D556" s="4"/>
      <c r="E556" s="114"/>
      <c r="F556" s="109"/>
      <c r="H556" s="1"/>
      <c r="I556" s="1"/>
      <c r="L556" s="110"/>
      <c r="M556" s="111"/>
      <c r="N556" s="112"/>
      <c r="O556" s="113"/>
      <c r="Q556" s="1"/>
      <c r="R556" s="1"/>
      <c r="S556" s="1"/>
      <c r="T556" s="1"/>
      <c r="U556" s="1"/>
      <c r="V556" s="1"/>
    </row>
    <row r="557">
      <c r="D557" s="4"/>
      <c r="E557" s="114"/>
      <c r="F557" s="109"/>
      <c r="H557" s="1"/>
      <c r="I557" s="1"/>
      <c r="L557" s="110"/>
      <c r="M557" s="111"/>
      <c r="N557" s="112"/>
      <c r="O557" s="113"/>
      <c r="Q557" s="1"/>
      <c r="R557" s="1"/>
      <c r="S557" s="1"/>
      <c r="T557" s="1"/>
      <c r="U557" s="1"/>
      <c r="V557" s="1"/>
    </row>
    <row r="558">
      <c r="D558" s="4"/>
      <c r="E558" s="114"/>
      <c r="F558" s="109"/>
      <c r="H558" s="1"/>
      <c r="I558" s="1"/>
      <c r="L558" s="110"/>
      <c r="M558" s="111"/>
      <c r="N558" s="112"/>
      <c r="O558" s="113"/>
      <c r="Q558" s="1"/>
      <c r="R558" s="1"/>
      <c r="S558" s="1"/>
      <c r="T558" s="1"/>
      <c r="U558" s="1"/>
      <c r="V558" s="1"/>
    </row>
    <row r="559">
      <c r="D559" s="4"/>
      <c r="E559" s="114"/>
      <c r="F559" s="109"/>
      <c r="H559" s="1"/>
      <c r="I559" s="1"/>
      <c r="L559" s="110"/>
      <c r="M559" s="111"/>
      <c r="N559" s="112"/>
      <c r="O559" s="113"/>
      <c r="Q559" s="1"/>
      <c r="R559" s="1"/>
      <c r="S559" s="1"/>
      <c r="T559" s="1"/>
      <c r="U559" s="1"/>
      <c r="V559" s="1"/>
    </row>
    <row r="560">
      <c r="D560" s="4"/>
      <c r="E560" s="114"/>
      <c r="F560" s="109"/>
      <c r="H560" s="1"/>
      <c r="I560" s="1"/>
      <c r="L560" s="110"/>
      <c r="M560" s="111"/>
      <c r="N560" s="112"/>
      <c r="O560" s="113"/>
      <c r="Q560" s="1"/>
      <c r="R560" s="1"/>
      <c r="S560" s="1"/>
      <c r="T560" s="1"/>
      <c r="U560" s="1"/>
      <c r="V560" s="1"/>
    </row>
    <row r="561">
      <c r="D561" s="4"/>
      <c r="E561" s="114"/>
      <c r="F561" s="109"/>
      <c r="H561" s="1"/>
      <c r="I561" s="1"/>
      <c r="L561" s="110"/>
      <c r="M561" s="111"/>
      <c r="N561" s="112"/>
      <c r="O561" s="113"/>
      <c r="Q561" s="1"/>
      <c r="R561" s="1"/>
      <c r="S561" s="1"/>
      <c r="T561" s="1"/>
      <c r="U561" s="1"/>
      <c r="V561" s="1"/>
    </row>
    <row r="562">
      <c r="D562" s="4"/>
      <c r="E562" s="114"/>
      <c r="F562" s="109"/>
      <c r="H562" s="1"/>
      <c r="I562" s="1"/>
      <c r="L562" s="110"/>
      <c r="M562" s="111"/>
      <c r="N562" s="112"/>
      <c r="O562" s="113"/>
      <c r="Q562" s="1"/>
      <c r="R562" s="1"/>
      <c r="S562" s="1"/>
      <c r="T562" s="1"/>
      <c r="U562" s="1"/>
      <c r="V562" s="1"/>
    </row>
    <row r="563">
      <c r="D563" s="4"/>
      <c r="E563" s="114"/>
      <c r="F563" s="109"/>
      <c r="H563" s="1"/>
      <c r="I563" s="1"/>
      <c r="L563" s="110"/>
      <c r="M563" s="111"/>
      <c r="N563" s="112"/>
      <c r="O563" s="113"/>
      <c r="Q563" s="1"/>
      <c r="R563" s="1"/>
      <c r="S563" s="1"/>
      <c r="T563" s="1"/>
      <c r="U563" s="1"/>
      <c r="V563" s="1"/>
    </row>
    <row r="564">
      <c r="D564" s="4"/>
      <c r="E564" s="114"/>
      <c r="F564" s="109"/>
      <c r="H564" s="1"/>
      <c r="I564" s="1"/>
      <c r="L564" s="110"/>
      <c r="M564" s="111"/>
      <c r="N564" s="112"/>
      <c r="O564" s="113"/>
      <c r="Q564" s="1"/>
      <c r="R564" s="1"/>
      <c r="S564" s="1"/>
      <c r="T564" s="1"/>
      <c r="U564" s="1"/>
      <c r="V564" s="1"/>
    </row>
    <row r="565">
      <c r="D565" s="4"/>
      <c r="E565" s="114"/>
      <c r="F565" s="109"/>
      <c r="H565" s="1"/>
      <c r="I565" s="1"/>
      <c r="L565" s="110"/>
      <c r="M565" s="111"/>
      <c r="N565" s="112"/>
      <c r="O565" s="113"/>
      <c r="Q565" s="1"/>
      <c r="R565" s="1"/>
      <c r="S565" s="1"/>
      <c r="T565" s="1"/>
      <c r="U565" s="1"/>
      <c r="V565" s="1"/>
    </row>
    <row r="566">
      <c r="D566" s="4"/>
      <c r="E566" s="114"/>
      <c r="F566" s="109"/>
      <c r="H566" s="1"/>
      <c r="I566" s="1"/>
      <c r="L566" s="110"/>
      <c r="M566" s="111"/>
      <c r="N566" s="112"/>
      <c r="O566" s="113"/>
      <c r="Q566" s="1"/>
      <c r="R566" s="1"/>
      <c r="S566" s="1"/>
      <c r="T566" s="1"/>
      <c r="U566" s="1"/>
      <c r="V566" s="1"/>
    </row>
    <row r="567">
      <c r="D567" s="4"/>
      <c r="E567" s="114"/>
      <c r="F567" s="109"/>
      <c r="H567" s="1"/>
      <c r="I567" s="1"/>
      <c r="L567" s="110"/>
      <c r="M567" s="111"/>
      <c r="N567" s="112"/>
      <c r="O567" s="113"/>
      <c r="Q567" s="1"/>
      <c r="R567" s="1"/>
      <c r="S567" s="1"/>
      <c r="T567" s="1"/>
      <c r="U567" s="1"/>
      <c r="V567" s="1"/>
    </row>
    <row r="568">
      <c r="D568" s="4"/>
      <c r="E568" s="114"/>
      <c r="F568" s="109"/>
      <c r="H568" s="1"/>
      <c r="I568" s="1"/>
      <c r="L568" s="110"/>
      <c r="M568" s="111"/>
      <c r="N568" s="112"/>
      <c r="O568" s="113"/>
      <c r="Q568" s="1"/>
      <c r="R568" s="1"/>
      <c r="S568" s="1"/>
      <c r="T568" s="1"/>
      <c r="U568" s="1"/>
      <c r="V568" s="1"/>
    </row>
    <row r="569">
      <c r="D569" s="4"/>
      <c r="E569" s="114"/>
      <c r="F569" s="109"/>
      <c r="H569" s="1"/>
      <c r="I569" s="1"/>
      <c r="L569" s="110"/>
      <c r="M569" s="111"/>
      <c r="N569" s="112"/>
      <c r="O569" s="113"/>
      <c r="Q569" s="1"/>
      <c r="R569" s="1"/>
      <c r="S569" s="1"/>
      <c r="T569" s="1"/>
      <c r="U569" s="1"/>
      <c r="V569" s="1"/>
    </row>
    <row r="570">
      <c r="D570" s="4"/>
      <c r="E570" s="114"/>
      <c r="F570" s="109"/>
      <c r="H570" s="1"/>
      <c r="I570" s="1"/>
      <c r="L570" s="110"/>
      <c r="M570" s="111"/>
      <c r="N570" s="112"/>
      <c r="O570" s="113"/>
      <c r="Q570" s="1"/>
      <c r="R570" s="1"/>
      <c r="S570" s="1"/>
      <c r="T570" s="1"/>
      <c r="U570" s="1"/>
      <c r="V570" s="1"/>
    </row>
    <row r="571">
      <c r="D571" s="4"/>
      <c r="E571" s="114"/>
      <c r="F571" s="109"/>
      <c r="H571" s="1"/>
      <c r="I571" s="1"/>
      <c r="L571" s="110"/>
      <c r="M571" s="111"/>
      <c r="N571" s="112"/>
      <c r="O571" s="113"/>
      <c r="Q571" s="1"/>
      <c r="R571" s="1"/>
      <c r="S571" s="1"/>
      <c r="T571" s="1"/>
      <c r="U571" s="1"/>
      <c r="V571" s="1"/>
    </row>
    <row r="572">
      <c r="D572" s="4"/>
      <c r="E572" s="114"/>
      <c r="F572" s="109"/>
      <c r="H572" s="1"/>
      <c r="I572" s="1"/>
      <c r="L572" s="110"/>
      <c r="M572" s="111"/>
      <c r="N572" s="112"/>
      <c r="O572" s="113"/>
      <c r="Q572" s="1"/>
      <c r="R572" s="1"/>
      <c r="S572" s="1"/>
      <c r="T572" s="1"/>
      <c r="U572" s="1"/>
      <c r="V572" s="1"/>
    </row>
    <row r="573">
      <c r="D573" s="4"/>
      <c r="E573" s="114"/>
      <c r="F573" s="109"/>
      <c r="H573" s="1"/>
      <c r="I573" s="1"/>
      <c r="L573" s="110"/>
      <c r="M573" s="111"/>
      <c r="N573" s="112"/>
      <c r="O573" s="113"/>
      <c r="Q573" s="1"/>
      <c r="R573" s="1"/>
      <c r="S573" s="1"/>
      <c r="T573" s="1"/>
      <c r="U573" s="1"/>
      <c r="V573" s="1"/>
    </row>
    <row r="574">
      <c r="D574" s="4"/>
      <c r="E574" s="114"/>
      <c r="F574" s="109"/>
      <c r="H574" s="1"/>
      <c r="I574" s="1"/>
      <c r="L574" s="110"/>
      <c r="M574" s="111"/>
      <c r="N574" s="112"/>
      <c r="O574" s="113"/>
      <c r="Q574" s="1"/>
      <c r="R574" s="1"/>
      <c r="S574" s="1"/>
      <c r="T574" s="1"/>
      <c r="U574" s="1"/>
      <c r="V574" s="1"/>
    </row>
    <row r="575">
      <c r="D575" s="4"/>
      <c r="E575" s="114"/>
      <c r="F575" s="109"/>
      <c r="H575" s="1"/>
      <c r="I575" s="1"/>
      <c r="L575" s="110"/>
      <c r="M575" s="111"/>
      <c r="N575" s="112"/>
      <c r="O575" s="113"/>
      <c r="Q575" s="1"/>
      <c r="R575" s="1"/>
      <c r="S575" s="1"/>
      <c r="T575" s="1"/>
      <c r="U575" s="1"/>
      <c r="V575" s="1"/>
    </row>
    <row r="576">
      <c r="D576" s="4"/>
      <c r="E576" s="114"/>
      <c r="F576" s="109"/>
      <c r="H576" s="1"/>
      <c r="I576" s="1"/>
      <c r="L576" s="110"/>
      <c r="M576" s="111"/>
      <c r="N576" s="112"/>
      <c r="O576" s="113"/>
      <c r="Q576" s="1"/>
      <c r="R576" s="1"/>
      <c r="S576" s="1"/>
      <c r="T576" s="1"/>
      <c r="U576" s="1"/>
      <c r="V576" s="1"/>
    </row>
    <row r="577">
      <c r="D577" s="4"/>
      <c r="E577" s="114"/>
      <c r="F577" s="109"/>
      <c r="H577" s="1"/>
      <c r="I577" s="1"/>
      <c r="L577" s="110"/>
      <c r="M577" s="111"/>
      <c r="N577" s="112"/>
      <c r="O577" s="113"/>
      <c r="Q577" s="1"/>
      <c r="R577" s="1"/>
      <c r="S577" s="1"/>
      <c r="T577" s="1"/>
      <c r="U577" s="1"/>
      <c r="V577" s="1"/>
    </row>
    <row r="578">
      <c r="D578" s="4"/>
      <c r="E578" s="114"/>
      <c r="F578" s="109"/>
      <c r="H578" s="1"/>
      <c r="I578" s="1"/>
      <c r="L578" s="110"/>
      <c r="M578" s="111"/>
      <c r="N578" s="112"/>
      <c r="O578" s="113"/>
      <c r="Q578" s="1"/>
      <c r="R578" s="1"/>
      <c r="S578" s="1"/>
      <c r="T578" s="1"/>
      <c r="U578" s="1"/>
      <c r="V578" s="1"/>
    </row>
    <row r="579">
      <c r="D579" s="4"/>
      <c r="E579" s="114"/>
      <c r="F579" s="109"/>
      <c r="H579" s="1"/>
      <c r="I579" s="1"/>
      <c r="L579" s="110"/>
      <c r="M579" s="111"/>
      <c r="N579" s="112"/>
      <c r="O579" s="113"/>
      <c r="Q579" s="1"/>
      <c r="R579" s="1"/>
      <c r="S579" s="1"/>
      <c r="T579" s="1"/>
      <c r="U579" s="1"/>
      <c r="V579" s="1"/>
    </row>
    <row r="580">
      <c r="D580" s="4"/>
      <c r="E580" s="114"/>
      <c r="F580" s="109"/>
      <c r="H580" s="1"/>
      <c r="I580" s="1"/>
      <c r="L580" s="110"/>
      <c r="M580" s="111"/>
      <c r="N580" s="112"/>
      <c r="O580" s="113"/>
      <c r="Q580" s="1"/>
      <c r="R580" s="1"/>
      <c r="S580" s="1"/>
      <c r="T580" s="1"/>
      <c r="U580" s="1"/>
      <c r="V580" s="1"/>
    </row>
    <row r="581">
      <c r="D581" s="4"/>
      <c r="E581" s="114"/>
      <c r="F581" s="109"/>
      <c r="H581" s="1"/>
      <c r="I581" s="1"/>
      <c r="L581" s="110"/>
      <c r="M581" s="111"/>
      <c r="N581" s="112"/>
      <c r="O581" s="113"/>
      <c r="Q581" s="1"/>
      <c r="R581" s="1"/>
      <c r="S581" s="1"/>
      <c r="T581" s="1"/>
      <c r="U581" s="1"/>
      <c r="V581" s="1"/>
    </row>
    <row r="582">
      <c r="D582" s="4"/>
      <c r="E582" s="114"/>
      <c r="F582" s="109"/>
      <c r="H582" s="1"/>
      <c r="I582" s="1"/>
      <c r="L582" s="110"/>
      <c r="M582" s="111"/>
      <c r="N582" s="112"/>
      <c r="O582" s="113"/>
      <c r="Q582" s="1"/>
      <c r="R582" s="1"/>
      <c r="S582" s="1"/>
      <c r="T582" s="1"/>
      <c r="U582" s="1"/>
      <c r="V582" s="1"/>
    </row>
    <row r="583">
      <c r="D583" s="4"/>
      <c r="E583" s="114"/>
      <c r="F583" s="109"/>
      <c r="H583" s="1"/>
      <c r="I583" s="1"/>
      <c r="L583" s="110"/>
      <c r="M583" s="111"/>
      <c r="N583" s="112"/>
      <c r="O583" s="113"/>
      <c r="Q583" s="1"/>
      <c r="R583" s="1"/>
      <c r="S583" s="1"/>
      <c r="T583" s="1"/>
      <c r="U583" s="1"/>
      <c r="V583" s="1"/>
    </row>
    <row r="584">
      <c r="D584" s="4"/>
      <c r="E584" s="114"/>
      <c r="F584" s="109"/>
      <c r="H584" s="1"/>
      <c r="I584" s="1"/>
      <c r="L584" s="110"/>
      <c r="M584" s="111"/>
      <c r="N584" s="112"/>
      <c r="O584" s="113"/>
      <c r="Q584" s="1"/>
      <c r="R584" s="1"/>
      <c r="S584" s="1"/>
      <c r="T584" s="1"/>
      <c r="U584" s="1"/>
      <c r="V584" s="1"/>
    </row>
    <row r="585">
      <c r="D585" s="4"/>
      <c r="E585" s="114"/>
      <c r="F585" s="109"/>
      <c r="H585" s="1"/>
      <c r="I585" s="1"/>
      <c r="L585" s="110"/>
      <c r="M585" s="111"/>
      <c r="N585" s="112"/>
      <c r="O585" s="113"/>
      <c r="Q585" s="1"/>
      <c r="R585" s="1"/>
      <c r="S585" s="1"/>
      <c r="T585" s="1"/>
      <c r="U585" s="1"/>
      <c r="V585" s="1"/>
    </row>
    <row r="586">
      <c r="D586" s="4"/>
      <c r="E586" s="114"/>
      <c r="F586" s="109"/>
      <c r="H586" s="1"/>
      <c r="I586" s="1"/>
      <c r="L586" s="110"/>
      <c r="M586" s="111"/>
      <c r="N586" s="112"/>
      <c r="O586" s="113"/>
      <c r="Q586" s="1"/>
      <c r="R586" s="1"/>
      <c r="S586" s="1"/>
      <c r="T586" s="1"/>
      <c r="U586" s="1"/>
      <c r="V586" s="1"/>
    </row>
    <row r="587">
      <c r="D587" s="4"/>
      <c r="E587" s="114"/>
      <c r="F587" s="109"/>
      <c r="H587" s="1"/>
      <c r="I587" s="1"/>
      <c r="L587" s="110"/>
      <c r="M587" s="111"/>
      <c r="N587" s="112"/>
      <c r="O587" s="113"/>
      <c r="Q587" s="1"/>
      <c r="R587" s="1"/>
      <c r="S587" s="1"/>
      <c r="T587" s="1"/>
      <c r="U587" s="1"/>
      <c r="V587" s="1"/>
    </row>
    <row r="588">
      <c r="D588" s="4"/>
      <c r="E588" s="114"/>
      <c r="F588" s="109"/>
      <c r="H588" s="1"/>
      <c r="I588" s="1"/>
      <c r="L588" s="110"/>
      <c r="M588" s="111"/>
      <c r="N588" s="112"/>
      <c r="O588" s="113"/>
      <c r="Q588" s="1"/>
      <c r="R588" s="1"/>
      <c r="S588" s="1"/>
      <c r="T588" s="1"/>
      <c r="U588" s="1"/>
      <c r="V588" s="1"/>
    </row>
    <row r="589">
      <c r="D589" s="4"/>
      <c r="E589" s="114"/>
      <c r="F589" s="109"/>
      <c r="H589" s="1"/>
      <c r="I589" s="1"/>
      <c r="L589" s="110"/>
      <c r="M589" s="111"/>
      <c r="N589" s="112"/>
      <c r="O589" s="113"/>
      <c r="Q589" s="1"/>
      <c r="R589" s="1"/>
      <c r="S589" s="1"/>
      <c r="T589" s="1"/>
      <c r="U589" s="1"/>
      <c r="V589" s="1"/>
    </row>
    <row r="590">
      <c r="D590" s="4"/>
      <c r="E590" s="114"/>
      <c r="F590" s="109"/>
      <c r="H590" s="1"/>
      <c r="I590" s="1"/>
      <c r="L590" s="110"/>
      <c r="M590" s="111"/>
      <c r="N590" s="112"/>
      <c r="O590" s="113"/>
      <c r="Q590" s="1"/>
      <c r="R590" s="1"/>
      <c r="S590" s="1"/>
      <c r="T590" s="1"/>
      <c r="U590" s="1"/>
      <c r="V590" s="1"/>
    </row>
    <row r="591">
      <c r="D591" s="4"/>
      <c r="E591" s="114"/>
      <c r="F591" s="109"/>
      <c r="H591" s="1"/>
      <c r="I591" s="1"/>
      <c r="L591" s="110"/>
      <c r="M591" s="111"/>
      <c r="N591" s="112"/>
      <c r="O591" s="113"/>
      <c r="Q591" s="1"/>
      <c r="R591" s="1"/>
      <c r="S591" s="1"/>
      <c r="T591" s="1"/>
      <c r="U591" s="1"/>
      <c r="V591" s="1"/>
    </row>
    <row r="592">
      <c r="D592" s="4"/>
      <c r="E592" s="114"/>
      <c r="F592" s="109"/>
      <c r="H592" s="1"/>
      <c r="I592" s="1"/>
      <c r="L592" s="110"/>
      <c r="M592" s="111"/>
      <c r="N592" s="112"/>
      <c r="O592" s="113"/>
      <c r="Q592" s="1"/>
      <c r="R592" s="1"/>
      <c r="S592" s="1"/>
      <c r="T592" s="1"/>
      <c r="U592" s="1"/>
      <c r="V592" s="1"/>
    </row>
    <row r="593">
      <c r="D593" s="4"/>
      <c r="E593" s="114"/>
      <c r="F593" s="109"/>
      <c r="H593" s="1"/>
      <c r="I593" s="1"/>
      <c r="L593" s="110"/>
      <c r="M593" s="111"/>
      <c r="N593" s="112"/>
      <c r="O593" s="113"/>
      <c r="Q593" s="1"/>
      <c r="R593" s="1"/>
      <c r="S593" s="1"/>
      <c r="T593" s="1"/>
      <c r="U593" s="1"/>
      <c r="V593" s="1"/>
    </row>
    <row r="594">
      <c r="D594" s="4"/>
      <c r="E594" s="114"/>
      <c r="F594" s="109"/>
      <c r="H594" s="1"/>
      <c r="I594" s="1"/>
      <c r="L594" s="110"/>
      <c r="M594" s="111"/>
      <c r="N594" s="112"/>
      <c r="O594" s="113"/>
      <c r="Q594" s="1"/>
      <c r="R594" s="1"/>
      <c r="S594" s="1"/>
      <c r="T594" s="1"/>
      <c r="U594" s="1"/>
      <c r="V594" s="1"/>
    </row>
    <row r="595">
      <c r="D595" s="4"/>
      <c r="E595" s="114"/>
      <c r="F595" s="109"/>
      <c r="H595" s="1"/>
      <c r="I595" s="1"/>
      <c r="L595" s="110"/>
      <c r="M595" s="111"/>
      <c r="N595" s="112"/>
      <c r="O595" s="113"/>
      <c r="Q595" s="1"/>
      <c r="R595" s="1"/>
      <c r="S595" s="1"/>
      <c r="T595" s="1"/>
      <c r="U595" s="1"/>
      <c r="V595" s="1"/>
    </row>
    <row r="596">
      <c r="D596" s="4"/>
      <c r="E596" s="114"/>
      <c r="F596" s="109"/>
      <c r="H596" s="1"/>
      <c r="I596" s="1"/>
      <c r="L596" s="110"/>
      <c r="M596" s="111"/>
      <c r="N596" s="112"/>
      <c r="O596" s="113"/>
      <c r="Q596" s="1"/>
      <c r="R596" s="1"/>
      <c r="S596" s="1"/>
      <c r="T596" s="1"/>
      <c r="U596" s="1"/>
      <c r="V596" s="1"/>
    </row>
    <row r="597">
      <c r="D597" s="4"/>
      <c r="E597" s="114"/>
      <c r="F597" s="109"/>
      <c r="H597" s="1"/>
      <c r="I597" s="1"/>
      <c r="L597" s="110"/>
      <c r="M597" s="111"/>
      <c r="N597" s="112"/>
      <c r="O597" s="113"/>
      <c r="Q597" s="1"/>
      <c r="R597" s="1"/>
      <c r="S597" s="1"/>
      <c r="T597" s="1"/>
      <c r="U597" s="1"/>
      <c r="V597" s="1"/>
    </row>
    <row r="598">
      <c r="D598" s="4"/>
      <c r="E598" s="114"/>
      <c r="F598" s="109"/>
      <c r="H598" s="1"/>
      <c r="I598" s="1"/>
      <c r="L598" s="110"/>
      <c r="M598" s="111"/>
      <c r="N598" s="112"/>
      <c r="O598" s="113"/>
      <c r="Q598" s="1"/>
      <c r="R598" s="1"/>
      <c r="S598" s="1"/>
      <c r="T598" s="1"/>
      <c r="U598" s="1"/>
      <c r="V598" s="1"/>
    </row>
    <row r="599">
      <c r="D599" s="4"/>
      <c r="E599" s="114"/>
      <c r="F599" s="109"/>
      <c r="H599" s="1"/>
      <c r="I599" s="1"/>
      <c r="L599" s="110"/>
      <c r="M599" s="111"/>
      <c r="N599" s="112"/>
      <c r="O599" s="113"/>
      <c r="Q599" s="1"/>
      <c r="R599" s="1"/>
      <c r="S599" s="1"/>
      <c r="T599" s="1"/>
      <c r="U599" s="1"/>
      <c r="V599" s="1"/>
    </row>
    <row r="600">
      <c r="D600" s="4"/>
      <c r="E600" s="114"/>
      <c r="F600" s="109"/>
      <c r="H600" s="1"/>
      <c r="I600" s="1"/>
      <c r="L600" s="110"/>
      <c r="M600" s="111"/>
      <c r="N600" s="112"/>
      <c r="O600" s="113"/>
      <c r="Q600" s="1"/>
      <c r="R600" s="1"/>
      <c r="S600" s="1"/>
      <c r="T600" s="1"/>
      <c r="U600" s="1"/>
      <c r="V600" s="1"/>
    </row>
    <row r="601">
      <c r="D601" s="4"/>
      <c r="E601" s="114"/>
      <c r="F601" s="109"/>
      <c r="H601" s="1"/>
      <c r="I601" s="1"/>
      <c r="L601" s="110"/>
      <c r="M601" s="111"/>
      <c r="N601" s="112"/>
      <c r="O601" s="113"/>
      <c r="Q601" s="1"/>
      <c r="R601" s="1"/>
      <c r="S601" s="1"/>
      <c r="T601" s="1"/>
      <c r="U601" s="1"/>
      <c r="V601" s="1"/>
    </row>
    <row r="602">
      <c r="D602" s="4"/>
      <c r="E602" s="114"/>
      <c r="F602" s="109"/>
      <c r="H602" s="1"/>
      <c r="I602" s="1"/>
      <c r="L602" s="110"/>
      <c r="M602" s="111"/>
      <c r="N602" s="112"/>
      <c r="O602" s="113"/>
      <c r="Q602" s="1"/>
      <c r="R602" s="1"/>
      <c r="S602" s="1"/>
      <c r="T602" s="1"/>
      <c r="U602" s="1"/>
      <c r="V602" s="1"/>
    </row>
    <row r="603">
      <c r="D603" s="4"/>
      <c r="E603" s="114"/>
      <c r="F603" s="109"/>
      <c r="H603" s="1"/>
      <c r="I603" s="1"/>
      <c r="L603" s="110"/>
      <c r="M603" s="111"/>
      <c r="N603" s="112"/>
      <c r="O603" s="113"/>
      <c r="Q603" s="1"/>
      <c r="R603" s="1"/>
      <c r="S603" s="1"/>
      <c r="T603" s="1"/>
      <c r="U603" s="1"/>
      <c r="V603" s="1"/>
    </row>
    <row r="604">
      <c r="D604" s="4"/>
      <c r="E604" s="114"/>
      <c r="F604" s="109"/>
      <c r="H604" s="1"/>
      <c r="I604" s="1"/>
      <c r="L604" s="110"/>
      <c r="M604" s="111"/>
      <c r="N604" s="112"/>
      <c r="O604" s="113"/>
      <c r="Q604" s="1"/>
      <c r="R604" s="1"/>
      <c r="S604" s="1"/>
      <c r="T604" s="1"/>
      <c r="U604" s="1"/>
      <c r="V604" s="1"/>
    </row>
    <row r="605">
      <c r="D605" s="4"/>
      <c r="E605" s="114"/>
      <c r="F605" s="109"/>
      <c r="H605" s="1"/>
      <c r="I605" s="1"/>
      <c r="L605" s="110"/>
      <c r="M605" s="111"/>
      <c r="N605" s="112"/>
      <c r="O605" s="113"/>
      <c r="Q605" s="1"/>
      <c r="R605" s="1"/>
      <c r="S605" s="1"/>
      <c r="T605" s="1"/>
      <c r="U605" s="1"/>
      <c r="V605" s="1"/>
    </row>
    <row r="606">
      <c r="D606" s="4"/>
      <c r="E606" s="114"/>
      <c r="F606" s="109"/>
      <c r="H606" s="1"/>
      <c r="I606" s="1"/>
      <c r="L606" s="110"/>
      <c r="M606" s="111"/>
      <c r="N606" s="112"/>
      <c r="O606" s="113"/>
      <c r="Q606" s="1"/>
      <c r="R606" s="1"/>
      <c r="S606" s="1"/>
      <c r="T606" s="1"/>
      <c r="U606" s="1"/>
      <c r="V606" s="1"/>
    </row>
    <row r="607">
      <c r="D607" s="4"/>
      <c r="E607" s="114"/>
      <c r="F607" s="109"/>
      <c r="H607" s="1"/>
      <c r="I607" s="1"/>
      <c r="L607" s="110"/>
      <c r="M607" s="111"/>
      <c r="N607" s="112"/>
      <c r="O607" s="113"/>
      <c r="Q607" s="1"/>
      <c r="R607" s="1"/>
      <c r="S607" s="1"/>
      <c r="T607" s="1"/>
      <c r="U607" s="1"/>
      <c r="V607" s="1"/>
    </row>
    <row r="608">
      <c r="D608" s="4"/>
      <c r="E608" s="114"/>
      <c r="F608" s="109"/>
      <c r="H608" s="1"/>
      <c r="I608" s="1"/>
      <c r="L608" s="110"/>
      <c r="M608" s="111"/>
      <c r="N608" s="112"/>
      <c r="O608" s="113"/>
      <c r="Q608" s="1"/>
      <c r="R608" s="1"/>
      <c r="S608" s="1"/>
      <c r="T608" s="1"/>
      <c r="U608" s="1"/>
      <c r="V608" s="1"/>
    </row>
    <row r="609">
      <c r="D609" s="4"/>
      <c r="E609" s="114"/>
      <c r="F609" s="109"/>
      <c r="H609" s="1"/>
      <c r="I609" s="1"/>
      <c r="L609" s="110"/>
      <c r="M609" s="111"/>
      <c r="N609" s="112"/>
      <c r="O609" s="113"/>
      <c r="Q609" s="1"/>
      <c r="R609" s="1"/>
      <c r="S609" s="1"/>
      <c r="T609" s="1"/>
      <c r="U609" s="1"/>
      <c r="V609" s="1"/>
    </row>
    <row r="610">
      <c r="D610" s="4"/>
      <c r="E610" s="114"/>
      <c r="F610" s="109"/>
      <c r="H610" s="1"/>
      <c r="I610" s="1"/>
      <c r="L610" s="110"/>
      <c r="M610" s="111"/>
      <c r="N610" s="112"/>
      <c r="O610" s="113"/>
      <c r="Q610" s="1"/>
      <c r="R610" s="1"/>
      <c r="S610" s="1"/>
      <c r="T610" s="1"/>
      <c r="U610" s="1"/>
      <c r="V610" s="1"/>
    </row>
    <row r="611">
      <c r="D611" s="4"/>
      <c r="E611" s="114"/>
      <c r="F611" s="109"/>
      <c r="H611" s="1"/>
      <c r="I611" s="1"/>
      <c r="L611" s="110"/>
      <c r="M611" s="111"/>
      <c r="N611" s="112"/>
      <c r="O611" s="113"/>
      <c r="Q611" s="1"/>
      <c r="R611" s="1"/>
      <c r="S611" s="1"/>
      <c r="T611" s="1"/>
      <c r="U611" s="1"/>
      <c r="V611" s="1"/>
    </row>
    <row r="612">
      <c r="D612" s="4"/>
      <c r="E612" s="114"/>
      <c r="F612" s="109"/>
      <c r="H612" s="1"/>
      <c r="I612" s="1"/>
      <c r="L612" s="110"/>
      <c r="M612" s="111"/>
      <c r="N612" s="112"/>
      <c r="O612" s="113"/>
      <c r="Q612" s="1"/>
      <c r="R612" s="1"/>
      <c r="S612" s="1"/>
      <c r="T612" s="1"/>
      <c r="U612" s="1"/>
      <c r="V612" s="1"/>
    </row>
    <row r="613">
      <c r="D613" s="4"/>
      <c r="E613" s="114"/>
      <c r="F613" s="109"/>
      <c r="H613" s="1"/>
      <c r="I613" s="1"/>
      <c r="L613" s="110"/>
      <c r="M613" s="111"/>
      <c r="N613" s="112"/>
      <c r="O613" s="113"/>
      <c r="Q613" s="1"/>
      <c r="R613" s="1"/>
      <c r="S613" s="1"/>
      <c r="T613" s="1"/>
      <c r="U613" s="1"/>
      <c r="V613" s="1"/>
    </row>
    <row r="614">
      <c r="D614" s="4"/>
      <c r="E614" s="114"/>
      <c r="F614" s="109"/>
      <c r="H614" s="1"/>
      <c r="I614" s="1"/>
      <c r="L614" s="110"/>
      <c r="M614" s="111"/>
      <c r="N614" s="112"/>
      <c r="O614" s="113"/>
      <c r="Q614" s="1"/>
      <c r="R614" s="1"/>
      <c r="S614" s="1"/>
      <c r="T614" s="1"/>
      <c r="U614" s="1"/>
      <c r="V614" s="1"/>
    </row>
    <row r="615">
      <c r="D615" s="4"/>
      <c r="E615" s="114"/>
      <c r="F615" s="109"/>
      <c r="H615" s="1"/>
      <c r="I615" s="1"/>
      <c r="L615" s="110"/>
      <c r="M615" s="111"/>
      <c r="N615" s="112"/>
      <c r="O615" s="113"/>
      <c r="Q615" s="1"/>
      <c r="R615" s="1"/>
      <c r="S615" s="1"/>
      <c r="T615" s="1"/>
      <c r="U615" s="1"/>
      <c r="V615" s="1"/>
    </row>
    <row r="616">
      <c r="D616" s="4"/>
      <c r="E616" s="114"/>
      <c r="F616" s="109"/>
      <c r="H616" s="1"/>
      <c r="I616" s="1"/>
      <c r="L616" s="110"/>
      <c r="M616" s="111"/>
      <c r="N616" s="112"/>
      <c r="O616" s="113"/>
      <c r="Q616" s="1"/>
      <c r="R616" s="1"/>
      <c r="S616" s="1"/>
      <c r="T616" s="1"/>
      <c r="U616" s="1"/>
      <c r="V616" s="1"/>
    </row>
    <row r="617">
      <c r="D617" s="4"/>
      <c r="E617" s="114"/>
      <c r="F617" s="109"/>
      <c r="H617" s="1"/>
      <c r="I617" s="1"/>
      <c r="L617" s="110"/>
      <c r="M617" s="111"/>
      <c r="N617" s="112"/>
      <c r="O617" s="113"/>
      <c r="Q617" s="1"/>
      <c r="R617" s="1"/>
      <c r="S617" s="1"/>
      <c r="T617" s="1"/>
      <c r="U617" s="1"/>
      <c r="V617" s="1"/>
    </row>
    <row r="618">
      <c r="D618" s="4"/>
      <c r="E618" s="114"/>
      <c r="F618" s="109"/>
      <c r="H618" s="1"/>
      <c r="I618" s="1"/>
      <c r="L618" s="110"/>
      <c r="M618" s="111"/>
      <c r="N618" s="112"/>
      <c r="O618" s="113"/>
      <c r="Q618" s="1"/>
      <c r="R618" s="1"/>
      <c r="S618" s="1"/>
      <c r="T618" s="1"/>
      <c r="U618" s="1"/>
      <c r="V618" s="1"/>
    </row>
    <row r="619">
      <c r="D619" s="4"/>
      <c r="E619" s="114"/>
      <c r="F619" s="109"/>
      <c r="H619" s="1"/>
      <c r="I619" s="1"/>
      <c r="L619" s="110"/>
      <c r="M619" s="111"/>
      <c r="N619" s="112"/>
      <c r="O619" s="113"/>
      <c r="Q619" s="1"/>
      <c r="R619" s="1"/>
      <c r="S619" s="1"/>
      <c r="T619" s="1"/>
      <c r="U619" s="1"/>
      <c r="V619" s="1"/>
    </row>
    <row r="620">
      <c r="D620" s="4"/>
      <c r="E620" s="114"/>
      <c r="F620" s="109"/>
      <c r="H620" s="1"/>
      <c r="I620" s="1"/>
      <c r="L620" s="110"/>
      <c r="M620" s="111"/>
      <c r="N620" s="112"/>
      <c r="O620" s="113"/>
      <c r="Q620" s="1"/>
      <c r="R620" s="1"/>
      <c r="S620" s="1"/>
      <c r="T620" s="1"/>
      <c r="U620" s="1"/>
      <c r="V620" s="1"/>
    </row>
    <row r="621">
      <c r="D621" s="4"/>
      <c r="E621" s="114"/>
      <c r="F621" s="109"/>
      <c r="H621" s="1"/>
      <c r="I621" s="1"/>
      <c r="L621" s="110"/>
      <c r="M621" s="111"/>
      <c r="N621" s="112"/>
      <c r="O621" s="113"/>
      <c r="Q621" s="1"/>
      <c r="R621" s="1"/>
      <c r="S621" s="1"/>
      <c r="T621" s="1"/>
      <c r="U621" s="1"/>
      <c r="V621" s="1"/>
    </row>
    <row r="622">
      <c r="D622" s="4"/>
      <c r="E622" s="114"/>
      <c r="F622" s="109"/>
      <c r="H622" s="1"/>
      <c r="I622" s="1"/>
      <c r="L622" s="110"/>
      <c r="M622" s="111"/>
      <c r="N622" s="112"/>
      <c r="O622" s="113"/>
      <c r="Q622" s="1"/>
      <c r="R622" s="1"/>
      <c r="S622" s="1"/>
      <c r="T622" s="1"/>
      <c r="U622" s="1"/>
      <c r="V622" s="1"/>
    </row>
    <row r="623">
      <c r="D623" s="4"/>
      <c r="E623" s="114"/>
      <c r="F623" s="109"/>
      <c r="H623" s="1"/>
      <c r="I623" s="1"/>
      <c r="L623" s="110"/>
      <c r="M623" s="111"/>
      <c r="N623" s="112"/>
      <c r="O623" s="113"/>
      <c r="Q623" s="1"/>
      <c r="R623" s="1"/>
      <c r="S623" s="1"/>
      <c r="T623" s="1"/>
      <c r="U623" s="1"/>
      <c r="V623" s="1"/>
    </row>
    <row r="624">
      <c r="D624" s="4"/>
      <c r="E624" s="114"/>
      <c r="F624" s="109"/>
      <c r="H624" s="1"/>
      <c r="I624" s="1"/>
      <c r="L624" s="110"/>
      <c r="M624" s="111"/>
      <c r="N624" s="112"/>
      <c r="O624" s="113"/>
      <c r="Q624" s="1"/>
      <c r="R624" s="1"/>
      <c r="S624" s="1"/>
      <c r="T624" s="1"/>
      <c r="U624" s="1"/>
      <c r="V624" s="1"/>
    </row>
    <row r="625">
      <c r="D625" s="4"/>
      <c r="E625" s="114"/>
      <c r="F625" s="109"/>
      <c r="H625" s="1"/>
      <c r="I625" s="1"/>
      <c r="L625" s="110"/>
      <c r="M625" s="111"/>
      <c r="N625" s="112"/>
      <c r="O625" s="113"/>
      <c r="Q625" s="1"/>
      <c r="R625" s="1"/>
      <c r="S625" s="1"/>
      <c r="T625" s="1"/>
      <c r="U625" s="1"/>
      <c r="V625" s="1"/>
    </row>
    <row r="626">
      <c r="D626" s="4"/>
      <c r="E626" s="114"/>
      <c r="F626" s="109"/>
      <c r="H626" s="1"/>
      <c r="I626" s="1"/>
      <c r="L626" s="110"/>
      <c r="M626" s="111"/>
      <c r="N626" s="112"/>
      <c r="O626" s="113"/>
      <c r="Q626" s="1"/>
      <c r="R626" s="1"/>
      <c r="S626" s="1"/>
      <c r="T626" s="1"/>
      <c r="U626" s="1"/>
      <c r="V626" s="1"/>
    </row>
    <row r="627">
      <c r="D627" s="4"/>
      <c r="E627" s="114"/>
      <c r="F627" s="109"/>
      <c r="H627" s="1"/>
      <c r="I627" s="1"/>
      <c r="L627" s="110"/>
      <c r="M627" s="111"/>
      <c r="N627" s="112"/>
      <c r="O627" s="113"/>
      <c r="Q627" s="1"/>
      <c r="R627" s="1"/>
      <c r="S627" s="1"/>
      <c r="T627" s="1"/>
      <c r="U627" s="1"/>
      <c r="V627" s="1"/>
    </row>
    <row r="628">
      <c r="D628" s="4"/>
      <c r="E628" s="114"/>
      <c r="F628" s="109"/>
      <c r="H628" s="1"/>
      <c r="I628" s="1"/>
      <c r="L628" s="110"/>
      <c r="M628" s="111"/>
      <c r="N628" s="112"/>
      <c r="O628" s="113"/>
      <c r="Q628" s="1"/>
      <c r="R628" s="1"/>
      <c r="S628" s="1"/>
      <c r="T628" s="1"/>
      <c r="U628" s="1"/>
      <c r="V628" s="1"/>
    </row>
    <row r="629">
      <c r="D629" s="4"/>
      <c r="E629" s="114"/>
      <c r="F629" s="109"/>
      <c r="H629" s="1"/>
      <c r="I629" s="1"/>
      <c r="L629" s="110"/>
      <c r="M629" s="111"/>
      <c r="N629" s="112"/>
      <c r="O629" s="113"/>
      <c r="Q629" s="1"/>
      <c r="R629" s="1"/>
      <c r="S629" s="1"/>
      <c r="T629" s="1"/>
      <c r="U629" s="1"/>
      <c r="V629" s="1"/>
    </row>
    <row r="630">
      <c r="D630" s="4"/>
      <c r="E630" s="114"/>
      <c r="F630" s="109"/>
      <c r="H630" s="1"/>
      <c r="I630" s="1"/>
      <c r="L630" s="110"/>
      <c r="M630" s="111"/>
      <c r="N630" s="112"/>
      <c r="O630" s="113"/>
      <c r="Q630" s="1"/>
      <c r="R630" s="1"/>
      <c r="S630" s="1"/>
      <c r="T630" s="1"/>
      <c r="U630" s="1"/>
      <c r="V630" s="1"/>
    </row>
    <row r="631">
      <c r="D631" s="4"/>
      <c r="E631" s="114"/>
      <c r="F631" s="109"/>
      <c r="H631" s="1"/>
      <c r="I631" s="1"/>
      <c r="L631" s="110"/>
      <c r="M631" s="111"/>
      <c r="N631" s="112"/>
      <c r="O631" s="113"/>
      <c r="Q631" s="1"/>
      <c r="R631" s="1"/>
      <c r="S631" s="1"/>
      <c r="T631" s="1"/>
      <c r="U631" s="1"/>
      <c r="V631" s="1"/>
    </row>
    <row r="632">
      <c r="D632" s="4"/>
      <c r="E632" s="114"/>
      <c r="F632" s="109"/>
      <c r="H632" s="1"/>
      <c r="I632" s="1"/>
      <c r="L632" s="110"/>
      <c r="M632" s="111"/>
      <c r="N632" s="112"/>
      <c r="O632" s="113"/>
      <c r="Q632" s="1"/>
      <c r="R632" s="1"/>
      <c r="S632" s="1"/>
      <c r="T632" s="1"/>
      <c r="U632" s="1"/>
      <c r="V632" s="1"/>
    </row>
    <row r="633">
      <c r="D633" s="4"/>
      <c r="E633" s="114"/>
      <c r="F633" s="109"/>
      <c r="H633" s="1"/>
      <c r="I633" s="1"/>
      <c r="L633" s="110"/>
      <c r="M633" s="111"/>
      <c r="N633" s="112"/>
      <c r="O633" s="113"/>
      <c r="Q633" s="1"/>
      <c r="R633" s="1"/>
      <c r="S633" s="1"/>
      <c r="T633" s="1"/>
      <c r="U633" s="1"/>
      <c r="V633" s="1"/>
    </row>
    <row r="634">
      <c r="D634" s="4"/>
      <c r="E634" s="114"/>
      <c r="F634" s="109"/>
      <c r="H634" s="1"/>
      <c r="I634" s="1"/>
      <c r="L634" s="110"/>
      <c r="M634" s="111"/>
      <c r="N634" s="112"/>
      <c r="O634" s="113"/>
      <c r="Q634" s="1"/>
      <c r="R634" s="1"/>
      <c r="S634" s="1"/>
      <c r="T634" s="1"/>
      <c r="U634" s="1"/>
      <c r="V634" s="1"/>
    </row>
    <row r="635">
      <c r="D635" s="4"/>
      <c r="E635" s="114"/>
      <c r="F635" s="109"/>
      <c r="H635" s="1"/>
      <c r="I635" s="1"/>
      <c r="L635" s="110"/>
      <c r="M635" s="111"/>
      <c r="N635" s="112"/>
      <c r="O635" s="113"/>
      <c r="Q635" s="1"/>
      <c r="R635" s="1"/>
      <c r="S635" s="1"/>
      <c r="T635" s="1"/>
      <c r="U635" s="1"/>
      <c r="V635" s="1"/>
    </row>
    <row r="636">
      <c r="D636" s="4"/>
      <c r="E636" s="114"/>
      <c r="F636" s="109"/>
      <c r="H636" s="1"/>
      <c r="I636" s="1"/>
      <c r="L636" s="110"/>
      <c r="M636" s="111"/>
      <c r="N636" s="112"/>
      <c r="O636" s="113"/>
      <c r="Q636" s="1"/>
      <c r="R636" s="1"/>
      <c r="S636" s="1"/>
      <c r="T636" s="1"/>
      <c r="U636" s="1"/>
      <c r="V636" s="1"/>
    </row>
    <row r="637">
      <c r="D637" s="4"/>
      <c r="E637" s="114"/>
      <c r="F637" s="109"/>
      <c r="H637" s="1"/>
      <c r="I637" s="1"/>
      <c r="L637" s="110"/>
      <c r="M637" s="111"/>
      <c r="N637" s="112"/>
      <c r="O637" s="113"/>
      <c r="Q637" s="1"/>
      <c r="R637" s="1"/>
      <c r="S637" s="1"/>
      <c r="T637" s="1"/>
      <c r="U637" s="1"/>
      <c r="V637" s="1"/>
    </row>
    <row r="638">
      <c r="D638" s="4"/>
      <c r="E638" s="114"/>
      <c r="F638" s="109"/>
      <c r="H638" s="1"/>
      <c r="I638" s="1"/>
      <c r="L638" s="110"/>
      <c r="M638" s="111"/>
      <c r="N638" s="112"/>
      <c r="O638" s="113"/>
      <c r="Q638" s="1"/>
      <c r="R638" s="1"/>
      <c r="S638" s="1"/>
      <c r="T638" s="1"/>
      <c r="U638" s="1"/>
      <c r="V638" s="1"/>
    </row>
    <row r="639">
      <c r="D639" s="4"/>
      <c r="E639" s="114"/>
      <c r="F639" s="109"/>
      <c r="H639" s="1"/>
      <c r="I639" s="1"/>
      <c r="L639" s="110"/>
      <c r="M639" s="111"/>
      <c r="N639" s="112"/>
      <c r="O639" s="113"/>
      <c r="Q639" s="1"/>
      <c r="R639" s="1"/>
      <c r="S639" s="1"/>
      <c r="T639" s="1"/>
      <c r="U639" s="1"/>
      <c r="V639" s="1"/>
    </row>
    <row r="640">
      <c r="D640" s="4"/>
      <c r="E640" s="114"/>
      <c r="F640" s="109"/>
      <c r="H640" s="1"/>
      <c r="I640" s="1"/>
      <c r="L640" s="110"/>
      <c r="M640" s="111"/>
      <c r="N640" s="112"/>
      <c r="O640" s="113"/>
      <c r="Q640" s="1"/>
      <c r="R640" s="1"/>
      <c r="S640" s="1"/>
      <c r="T640" s="1"/>
      <c r="U640" s="1"/>
      <c r="V640" s="1"/>
    </row>
    <row r="641">
      <c r="D641" s="4"/>
      <c r="E641" s="114"/>
      <c r="F641" s="109"/>
      <c r="H641" s="1"/>
      <c r="I641" s="1"/>
      <c r="L641" s="110"/>
      <c r="M641" s="111"/>
      <c r="N641" s="112"/>
      <c r="O641" s="113"/>
      <c r="Q641" s="1"/>
      <c r="R641" s="1"/>
      <c r="S641" s="1"/>
      <c r="T641" s="1"/>
      <c r="U641" s="1"/>
      <c r="V641" s="1"/>
    </row>
    <row r="642">
      <c r="D642" s="4"/>
      <c r="E642" s="114"/>
      <c r="F642" s="109"/>
      <c r="H642" s="1"/>
      <c r="I642" s="1"/>
      <c r="L642" s="110"/>
      <c r="M642" s="111"/>
      <c r="N642" s="112"/>
      <c r="O642" s="113"/>
      <c r="Q642" s="1"/>
      <c r="R642" s="1"/>
      <c r="S642" s="1"/>
      <c r="T642" s="1"/>
      <c r="U642" s="1"/>
      <c r="V642" s="1"/>
    </row>
    <row r="643">
      <c r="D643" s="4"/>
      <c r="E643" s="114"/>
      <c r="F643" s="109"/>
      <c r="H643" s="1"/>
      <c r="I643" s="1"/>
      <c r="L643" s="110"/>
      <c r="M643" s="111"/>
      <c r="N643" s="112"/>
      <c r="O643" s="113"/>
      <c r="Q643" s="1"/>
      <c r="R643" s="1"/>
      <c r="S643" s="1"/>
      <c r="T643" s="1"/>
      <c r="U643" s="1"/>
      <c r="V643" s="1"/>
    </row>
    <row r="644">
      <c r="D644" s="4"/>
      <c r="E644" s="114"/>
      <c r="F644" s="109"/>
      <c r="H644" s="1"/>
      <c r="I644" s="1"/>
      <c r="L644" s="110"/>
      <c r="M644" s="111"/>
      <c r="N644" s="112"/>
      <c r="O644" s="113"/>
      <c r="Q644" s="1"/>
      <c r="R644" s="1"/>
      <c r="S644" s="1"/>
      <c r="T644" s="1"/>
      <c r="U644" s="1"/>
      <c r="V644" s="1"/>
    </row>
    <row r="645">
      <c r="D645" s="4"/>
      <c r="E645" s="114"/>
      <c r="F645" s="109"/>
      <c r="H645" s="1"/>
      <c r="I645" s="1"/>
      <c r="L645" s="110"/>
      <c r="M645" s="111"/>
      <c r="N645" s="112"/>
      <c r="O645" s="113"/>
      <c r="Q645" s="1"/>
      <c r="R645" s="1"/>
      <c r="S645" s="1"/>
      <c r="T645" s="1"/>
      <c r="U645" s="1"/>
      <c r="V645" s="1"/>
    </row>
    <row r="646">
      <c r="D646" s="4"/>
      <c r="E646" s="114"/>
      <c r="F646" s="109"/>
      <c r="H646" s="1"/>
      <c r="I646" s="1"/>
      <c r="L646" s="110"/>
      <c r="M646" s="111"/>
      <c r="N646" s="112"/>
      <c r="O646" s="113"/>
      <c r="Q646" s="1"/>
      <c r="R646" s="1"/>
      <c r="S646" s="1"/>
      <c r="T646" s="1"/>
      <c r="U646" s="1"/>
      <c r="V646" s="1"/>
    </row>
    <row r="647">
      <c r="D647" s="4"/>
      <c r="E647" s="114"/>
      <c r="F647" s="109"/>
      <c r="H647" s="1"/>
      <c r="I647" s="1"/>
      <c r="L647" s="110"/>
      <c r="M647" s="111"/>
      <c r="N647" s="112"/>
      <c r="O647" s="113"/>
      <c r="Q647" s="1"/>
      <c r="R647" s="1"/>
      <c r="S647" s="1"/>
      <c r="T647" s="1"/>
      <c r="U647" s="1"/>
      <c r="V647" s="1"/>
    </row>
    <row r="648">
      <c r="D648" s="4"/>
      <c r="E648" s="114"/>
      <c r="F648" s="109"/>
      <c r="H648" s="1"/>
      <c r="I648" s="1"/>
      <c r="L648" s="110"/>
      <c r="M648" s="111"/>
      <c r="N648" s="112"/>
      <c r="O648" s="113"/>
      <c r="Q648" s="1"/>
      <c r="R648" s="1"/>
      <c r="S648" s="1"/>
      <c r="T648" s="1"/>
      <c r="U648" s="1"/>
      <c r="V648" s="1"/>
    </row>
    <row r="649">
      <c r="D649" s="4"/>
      <c r="E649" s="114"/>
      <c r="F649" s="109"/>
      <c r="H649" s="1"/>
      <c r="I649" s="1"/>
      <c r="L649" s="110"/>
      <c r="M649" s="111"/>
      <c r="N649" s="112"/>
      <c r="O649" s="113"/>
      <c r="Q649" s="1"/>
      <c r="R649" s="1"/>
      <c r="S649" s="1"/>
      <c r="T649" s="1"/>
      <c r="U649" s="1"/>
      <c r="V649" s="1"/>
    </row>
    <row r="650">
      <c r="D650" s="4"/>
      <c r="E650" s="114"/>
      <c r="F650" s="109"/>
      <c r="H650" s="1"/>
      <c r="I650" s="1"/>
      <c r="L650" s="110"/>
      <c r="M650" s="111"/>
      <c r="N650" s="112"/>
      <c r="O650" s="113"/>
      <c r="Q650" s="1"/>
      <c r="R650" s="1"/>
      <c r="S650" s="1"/>
      <c r="T650" s="1"/>
      <c r="U650" s="1"/>
      <c r="V650" s="1"/>
    </row>
    <row r="651">
      <c r="D651" s="4"/>
      <c r="E651" s="114"/>
      <c r="F651" s="109"/>
      <c r="H651" s="1"/>
      <c r="I651" s="1"/>
      <c r="L651" s="110"/>
      <c r="M651" s="111"/>
      <c r="N651" s="112"/>
      <c r="O651" s="113"/>
      <c r="Q651" s="1"/>
      <c r="R651" s="1"/>
      <c r="S651" s="1"/>
      <c r="T651" s="1"/>
      <c r="U651" s="1"/>
      <c r="V651" s="1"/>
    </row>
    <row r="652">
      <c r="D652" s="4"/>
      <c r="E652" s="114"/>
      <c r="F652" s="109"/>
      <c r="H652" s="1"/>
      <c r="I652" s="1"/>
      <c r="L652" s="110"/>
      <c r="M652" s="111"/>
      <c r="N652" s="112"/>
      <c r="O652" s="113"/>
      <c r="Q652" s="1"/>
      <c r="R652" s="1"/>
      <c r="S652" s="1"/>
      <c r="T652" s="1"/>
      <c r="U652" s="1"/>
      <c r="V652" s="1"/>
    </row>
    <row r="653">
      <c r="D653" s="4"/>
      <c r="E653" s="114"/>
      <c r="F653" s="109"/>
      <c r="H653" s="1"/>
      <c r="I653" s="1"/>
      <c r="L653" s="110"/>
      <c r="M653" s="111"/>
      <c r="N653" s="112"/>
      <c r="O653" s="113"/>
      <c r="Q653" s="1"/>
      <c r="R653" s="1"/>
      <c r="S653" s="1"/>
      <c r="T653" s="1"/>
      <c r="U653" s="1"/>
      <c r="V653" s="1"/>
    </row>
    <row r="654">
      <c r="D654" s="4"/>
      <c r="E654" s="114"/>
      <c r="F654" s="109"/>
      <c r="H654" s="1"/>
      <c r="I654" s="1"/>
      <c r="L654" s="110"/>
      <c r="M654" s="111"/>
      <c r="N654" s="112"/>
      <c r="O654" s="113"/>
      <c r="Q654" s="1"/>
      <c r="R654" s="1"/>
      <c r="S654" s="1"/>
      <c r="T654" s="1"/>
      <c r="U654" s="1"/>
      <c r="V654" s="1"/>
    </row>
    <row r="655">
      <c r="D655" s="4"/>
      <c r="E655" s="114"/>
      <c r="F655" s="109"/>
      <c r="H655" s="1"/>
      <c r="I655" s="1"/>
      <c r="L655" s="110"/>
      <c r="M655" s="111"/>
      <c r="N655" s="112"/>
      <c r="O655" s="113"/>
      <c r="Q655" s="1"/>
      <c r="R655" s="1"/>
      <c r="S655" s="1"/>
      <c r="T655" s="1"/>
      <c r="U655" s="1"/>
      <c r="V655" s="1"/>
    </row>
    <row r="656">
      <c r="D656" s="4"/>
      <c r="E656" s="114"/>
      <c r="F656" s="109"/>
      <c r="H656" s="1"/>
      <c r="I656" s="1"/>
      <c r="L656" s="110"/>
      <c r="M656" s="111"/>
      <c r="N656" s="112"/>
      <c r="O656" s="113"/>
      <c r="Q656" s="1"/>
      <c r="R656" s="1"/>
      <c r="S656" s="1"/>
      <c r="T656" s="1"/>
      <c r="U656" s="1"/>
      <c r="V656" s="1"/>
    </row>
    <row r="657">
      <c r="D657" s="4"/>
      <c r="E657" s="114"/>
      <c r="F657" s="109"/>
      <c r="H657" s="1"/>
      <c r="I657" s="1"/>
      <c r="L657" s="110"/>
      <c r="M657" s="111"/>
      <c r="N657" s="112"/>
      <c r="O657" s="113"/>
      <c r="Q657" s="1"/>
      <c r="R657" s="1"/>
      <c r="S657" s="1"/>
      <c r="T657" s="1"/>
      <c r="U657" s="1"/>
      <c r="V657" s="1"/>
    </row>
    <row r="658">
      <c r="D658" s="4"/>
      <c r="E658" s="114"/>
      <c r="F658" s="109"/>
      <c r="H658" s="1"/>
      <c r="I658" s="1"/>
      <c r="L658" s="110"/>
      <c r="M658" s="111"/>
      <c r="N658" s="112"/>
      <c r="O658" s="113"/>
      <c r="Q658" s="1"/>
      <c r="R658" s="1"/>
      <c r="S658" s="1"/>
      <c r="T658" s="1"/>
      <c r="U658" s="1"/>
      <c r="V658" s="1"/>
    </row>
    <row r="659">
      <c r="D659" s="4"/>
      <c r="E659" s="114"/>
      <c r="F659" s="109"/>
      <c r="H659" s="1"/>
      <c r="I659" s="1"/>
      <c r="L659" s="110"/>
      <c r="M659" s="111"/>
      <c r="N659" s="112"/>
      <c r="O659" s="113"/>
      <c r="Q659" s="1"/>
      <c r="R659" s="1"/>
      <c r="S659" s="1"/>
      <c r="T659" s="1"/>
      <c r="U659" s="1"/>
      <c r="V659" s="1"/>
    </row>
    <row r="660">
      <c r="D660" s="4"/>
      <c r="E660" s="114"/>
      <c r="F660" s="109"/>
      <c r="H660" s="1"/>
      <c r="I660" s="1"/>
      <c r="L660" s="110"/>
      <c r="M660" s="111"/>
      <c r="N660" s="112"/>
      <c r="O660" s="113"/>
      <c r="Q660" s="1"/>
      <c r="R660" s="1"/>
      <c r="S660" s="1"/>
      <c r="T660" s="1"/>
      <c r="U660" s="1"/>
      <c r="V660" s="1"/>
    </row>
    <row r="661">
      <c r="D661" s="4"/>
      <c r="E661" s="114"/>
      <c r="F661" s="109"/>
      <c r="H661" s="1"/>
      <c r="I661" s="1"/>
      <c r="L661" s="110"/>
      <c r="M661" s="111"/>
      <c r="N661" s="112"/>
      <c r="O661" s="113"/>
      <c r="Q661" s="1"/>
      <c r="R661" s="1"/>
      <c r="S661" s="1"/>
      <c r="T661" s="1"/>
      <c r="U661" s="1"/>
      <c r="V661" s="1"/>
    </row>
    <row r="662">
      <c r="D662" s="4"/>
      <c r="E662" s="114"/>
      <c r="F662" s="109"/>
      <c r="H662" s="1"/>
      <c r="I662" s="1"/>
      <c r="L662" s="110"/>
      <c r="M662" s="111"/>
      <c r="N662" s="112"/>
      <c r="O662" s="113"/>
      <c r="Q662" s="1"/>
      <c r="R662" s="1"/>
      <c r="S662" s="1"/>
      <c r="T662" s="1"/>
      <c r="U662" s="1"/>
      <c r="V662" s="1"/>
    </row>
    <row r="663">
      <c r="D663" s="4"/>
      <c r="E663" s="114"/>
      <c r="F663" s="109"/>
      <c r="H663" s="1"/>
      <c r="I663" s="1"/>
      <c r="L663" s="110"/>
      <c r="M663" s="111"/>
      <c r="N663" s="112"/>
      <c r="O663" s="113"/>
      <c r="Q663" s="1"/>
      <c r="R663" s="1"/>
      <c r="S663" s="1"/>
      <c r="T663" s="1"/>
      <c r="U663" s="1"/>
      <c r="V663" s="1"/>
    </row>
    <row r="664">
      <c r="D664" s="4"/>
      <c r="E664" s="114"/>
      <c r="F664" s="109"/>
      <c r="H664" s="1"/>
      <c r="I664" s="1"/>
      <c r="L664" s="110"/>
      <c r="M664" s="111"/>
      <c r="N664" s="112"/>
      <c r="O664" s="113"/>
      <c r="Q664" s="1"/>
      <c r="R664" s="1"/>
      <c r="S664" s="1"/>
      <c r="T664" s="1"/>
      <c r="U664" s="1"/>
      <c r="V664" s="1"/>
    </row>
    <row r="665">
      <c r="D665" s="4"/>
      <c r="E665" s="114"/>
      <c r="F665" s="109"/>
      <c r="H665" s="1"/>
      <c r="I665" s="1"/>
      <c r="L665" s="110"/>
      <c r="M665" s="111"/>
      <c r="N665" s="112"/>
      <c r="O665" s="113"/>
      <c r="Q665" s="1"/>
      <c r="R665" s="1"/>
      <c r="S665" s="1"/>
      <c r="T665" s="1"/>
      <c r="U665" s="1"/>
      <c r="V665" s="1"/>
    </row>
    <row r="666">
      <c r="D666" s="4"/>
      <c r="E666" s="114"/>
      <c r="F666" s="109"/>
      <c r="H666" s="1"/>
      <c r="I666" s="1"/>
      <c r="L666" s="110"/>
      <c r="M666" s="111"/>
      <c r="N666" s="112"/>
      <c r="O666" s="113"/>
      <c r="Q666" s="1"/>
      <c r="R666" s="1"/>
      <c r="S666" s="1"/>
      <c r="T666" s="1"/>
      <c r="U666" s="1"/>
      <c r="V666" s="1"/>
    </row>
    <row r="667">
      <c r="D667" s="4"/>
      <c r="E667" s="114"/>
      <c r="F667" s="109"/>
      <c r="H667" s="1"/>
      <c r="I667" s="1"/>
      <c r="L667" s="110"/>
      <c r="M667" s="111"/>
      <c r="N667" s="112"/>
      <c r="O667" s="113"/>
      <c r="Q667" s="1"/>
      <c r="R667" s="1"/>
      <c r="S667" s="1"/>
      <c r="T667" s="1"/>
      <c r="U667" s="1"/>
      <c r="V667" s="1"/>
    </row>
    <row r="668">
      <c r="D668" s="4"/>
      <c r="E668" s="114"/>
      <c r="F668" s="109"/>
      <c r="H668" s="1"/>
      <c r="I668" s="1"/>
      <c r="L668" s="110"/>
      <c r="M668" s="111"/>
      <c r="N668" s="112"/>
      <c r="O668" s="113"/>
      <c r="Q668" s="1"/>
      <c r="R668" s="1"/>
      <c r="S668" s="1"/>
      <c r="T668" s="1"/>
      <c r="U668" s="1"/>
      <c r="V668" s="1"/>
    </row>
    <row r="669">
      <c r="D669" s="4"/>
      <c r="E669" s="114"/>
      <c r="F669" s="109"/>
      <c r="H669" s="1"/>
      <c r="I669" s="1"/>
      <c r="L669" s="110"/>
      <c r="M669" s="111"/>
      <c r="N669" s="112"/>
      <c r="O669" s="113"/>
      <c r="Q669" s="1"/>
      <c r="R669" s="1"/>
      <c r="S669" s="1"/>
      <c r="T669" s="1"/>
      <c r="U669" s="1"/>
      <c r="V669" s="1"/>
    </row>
    <row r="670">
      <c r="D670" s="4"/>
      <c r="E670" s="114"/>
      <c r="F670" s="109"/>
      <c r="H670" s="1"/>
      <c r="I670" s="1"/>
      <c r="L670" s="110"/>
      <c r="M670" s="111"/>
      <c r="N670" s="112"/>
      <c r="O670" s="113"/>
      <c r="Q670" s="1"/>
      <c r="R670" s="1"/>
      <c r="S670" s="1"/>
      <c r="T670" s="1"/>
      <c r="U670" s="1"/>
      <c r="V670" s="1"/>
    </row>
    <row r="671">
      <c r="D671" s="4"/>
      <c r="E671" s="114"/>
      <c r="F671" s="109"/>
      <c r="H671" s="1"/>
      <c r="I671" s="1"/>
      <c r="L671" s="110"/>
      <c r="M671" s="111"/>
      <c r="N671" s="112"/>
      <c r="O671" s="113"/>
      <c r="Q671" s="1"/>
      <c r="R671" s="1"/>
      <c r="S671" s="1"/>
      <c r="T671" s="1"/>
      <c r="U671" s="1"/>
      <c r="V671" s="1"/>
    </row>
    <row r="672">
      <c r="D672" s="4"/>
      <c r="E672" s="114"/>
      <c r="F672" s="109"/>
      <c r="H672" s="1"/>
      <c r="I672" s="1"/>
      <c r="L672" s="110"/>
      <c r="M672" s="111"/>
      <c r="N672" s="112"/>
      <c r="O672" s="113"/>
      <c r="Q672" s="1"/>
      <c r="R672" s="1"/>
      <c r="S672" s="1"/>
      <c r="T672" s="1"/>
      <c r="U672" s="1"/>
      <c r="V672" s="1"/>
    </row>
    <row r="673">
      <c r="D673" s="4"/>
      <c r="E673" s="114"/>
      <c r="F673" s="109"/>
      <c r="H673" s="1"/>
      <c r="I673" s="1"/>
      <c r="L673" s="110"/>
      <c r="M673" s="111"/>
      <c r="N673" s="112"/>
      <c r="O673" s="113"/>
      <c r="Q673" s="1"/>
      <c r="R673" s="1"/>
      <c r="S673" s="1"/>
      <c r="T673" s="1"/>
      <c r="U673" s="1"/>
      <c r="V673" s="1"/>
    </row>
    <row r="674">
      <c r="D674" s="4"/>
      <c r="E674" s="114"/>
      <c r="F674" s="109"/>
      <c r="H674" s="1"/>
      <c r="I674" s="1"/>
      <c r="L674" s="110"/>
      <c r="M674" s="111"/>
      <c r="N674" s="112"/>
      <c r="O674" s="113"/>
      <c r="Q674" s="1"/>
      <c r="R674" s="1"/>
      <c r="S674" s="1"/>
      <c r="T674" s="1"/>
      <c r="U674" s="1"/>
      <c r="V674" s="1"/>
    </row>
    <row r="675">
      <c r="D675" s="4"/>
      <c r="E675" s="114"/>
      <c r="F675" s="109"/>
      <c r="H675" s="1"/>
      <c r="I675" s="1"/>
      <c r="L675" s="110"/>
      <c r="M675" s="111"/>
      <c r="N675" s="112"/>
      <c r="O675" s="113"/>
      <c r="Q675" s="1"/>
      <c r="R675" s="1"/>
      <c r="S675" s="1"/>
      <c r="T675" s="1"/>
      <c r="U675" s="1"/>
      <c r="V675" s="1"/>
    </row>
    <row r="676">
      <c r="D676" s="4"/>
      <c r="E676" s="114"/>
      <c r="F676" s="109"/>
      <c r="H676" s="1"/>
      <c r="I676" s="1"/>
      <c r="L676" s="110"/>
      <c r="M676" s="111"/>
      <c r="N676" s="112"/>
      <c r="O676" s="113"/>
      <c r="Q676" s="1"/>
      <c r="R676" s="1"/>
      <c r="S676" s="1"/>
      <c r="T676" s="1"/>
      <c r="U676" s="1"/>
      <c r="V676" s="1"/>
    </row>
    <row r="677">
      <c r="D677" s="4"/>
      <c r="E677" s="114"/>
      <c r="F677" s="109"/>
      <c r="H677" s="1"/>
      <c r="I677" s="1"/>
      <c r="L677" s="110"/>
      <c r="M677" s="111"/>
      <c r="N677" s="112"/>
      <c r="O677" s="113"/>
      <c r="Q677" s="1"/>
      <c r="R677" s="1"/>
      <c r="S677" s="1"/>
      <c r="T677" s="1"/>
      <c r="U677" s="1"/>
      <c r="V677" s="1"/>
    </row>
    <row r="678">
      <c r="D678" s="4"/>
      <c r="E678" s="114"/>
      <c r="F678" s="109"/>
      <c r="H678" s="1"/>
      <c r="I678" s="1"/>
      <c r="L678" s="110"/>
      <c r="M678" s="111"/>
      <c r="N678" s="112"/>
      <c r="O678" s="113"/>
      <c r="Q678" s="1"/>
      <c r="R678" s="1"/>
      <c r="S678" s="1"/>
      <c r="T678" s="1"/>
      <c r="U678" s="1"/>
      <c r="V678" s="1"/>
    </row>
    <row r="679">
      <c r="D679" s="4"/>
      <c r="E679" s="114"/>
      <c r="F679" s="109"/>
      <c r="H679" s="1"/>
      <c r="I679" s="1"/>
      <c r="L679" s="110"/>
      <c r="M679" s="111"/>
      <c r="N679" s="112"/>
      <c r="O679" s="113"/>
      <c r="Q679" s="1"/>
      <c r="R679" s="1"/>
      <c r="S679" s="1"/>
      <c r="T679" s="1"/>
      <c r="U679" s="1"/>
      <c r="V679" s="1"/>
    </row>
    <row r="680">
      <c r="D680" s="4"/>
      <c r="E680" s="114"/>
      <c r="F680" s="109"/>
      <c r="H680" s="1"/>
      <c r="I680" s="1"/>
      <c r="L680" s="110"/>
      <c r="M680" s="111"/>
      <c r="N680" s="112"/>
      <c r="O680" s="113"/>
      <c r="Q680" s="1"/>
      <c r="R680" s="1"/>
      <c r="S680" s="1"/>
      <c r="T680" s="1"/>
      <c r="U680" s="1"/>
      <c r="V680" s="1"/>
    </row>
    <row r="681">
      <c r="D681" s="4"/>
      <c r="E681" s="114"/>
      <c r="F681" s="109"/>
      <c r="H681" s="1"/>
      <c r="I681" s="1"/>
      <c r="L681" s="110"/>
      <c r="M681" s="111"/>
      <c r="N681" s="112"/>
      <c r="O681" s="113"/>
      <c r="Q681" s="1"/>
      <c r="R681" s="1"/>
      <c r="S681" s="1"/>
      <c r="T681" s="1"/>
      <c r="U681" s="1"/>
      <c r="V681" s="1"/>
    </row>
    <row r="682">
      <c r="D682" s="4"/>
      <c r="E682" s="114"/>
      <c r="F682" s="109"/>
      <c r="H682" s="1"/>
      <c r="I682" s="1"/>
      <c r="L682" s="110"/>
      <c r="M682" s="111"/>
      <c r="N682" s="112"/>
      <c r="O682" s="113"/>
      <c r="Q682" s="1"/>
      <c r="R682" s="1"/>
      <c r="S682" s="1"/>
      <c r="T682" s="1"/>
      <c r="U682" s="1"/>
      <c r="V682" s="1"/>
    </row>
    <row r="683">
      <c r="D683" s="4"/>
      <c r="E683" s="114"/>
      <c r="F683" s="109"/>
      <c r="H683" s="1"/>
      <c r="I683" s="1"/>
      <c r="L683" s="110"/>
      <c r="M683" s="111"/>
      <c r="N683" s="112"/>
      <c r="O683" s="113"/>
      <c r="Q683" s="1"/>
      <c r="R683" s="1"/>
      <c r="S683" s="1"/>
      <c r="T683" s="1"/>
      <c r="U683" s="1"/>
      <c r="V683" s="1"/>
    </row>
    <row r="684">
      <c r="D684" s="4"/>
      <c r="E684" s="114"/>
      <c r="F684" s="109"/>
      <c r="H684" s="1"/>
      <c r="I684" s="1"/>
      <c r="L684" s="110"/>
      <c r="M684" s="111"/>
      <c r="N684" s="112"/>
      <c r="O684" s="113"/>
      <c r="Q684" s="1"/>
      <c r="R684" s="1"/>
      <c r="S684" s="1"/>
      <c r="T684" s="1"/>
      <c r="U684" s="1"/>
      <c r="V684" s="1"/>
    </row>
    <row r="685">
      <c r="D685" s="4"/>
      <c r="E685" s="114"/>
      <c r="F685" s="109"/>
      <c r="H685" s="1"/>
      <c r="I685" s="1"/>
      <c r="L685" s="110"/>
      <c r="M685" s="111"/>
      <c r="N685" s="112"/>
      <c r="O685" s="113"/>
      <c r="Q685" s="1"/>
      <c r="R685" s="1"/>
      <c r="S685" s="1"/>
      <c r="T685" s="1"/>
      <c r="U685" s="1"/>
      <c r="V685" s="1"/>
    </row>
    <row r="686">
      <c r="D686" s="4"/>
      <c r="E686" s="114"/>
      <c r="F686" s="109"/>
      <c r="H686" s="1"/>
      <c r="I686" s="1"/>
      <c r="L686" s="110"/>
      <c r="M686" s="111"/>
      <c r="N686" s="112"/>
      <c r="O686" s="113"/>
      <c r="Q686" s="1"/>
      <c r="R686" s="1"/>
      <c r="S686" s="1"/>
      <c r="T686" s="1"/>
      <c r="U686" s="1"/>
      <c r="V686" s="1"/>
    </row>
    <row r="687">
      <c r="D687" s="4"/>
      <c r="E687" s="114"/>
      <c r="F687" s="109"/>
      <c r="H687" s="1"/>
      <c r="I687" s="1"/>
      <c r="L687" s="110"/>
      <c r="M687" s="111"/>
      <c r="N687" s="112"/>
      <c r="O687" s="113"/>
      <c r="Q687" s="1"/>
      <c r="R687" s="1"/>
      <c r="S687" s="1"/>
      <c r="T687" s="1"/>
      <c r="U687" s="1"/>
      <c r="V687" s="1"/>
    </row>
    <row r="688">
      <c r="D688" s="4"/>
      <c r="E688" s="114"/>
      <c r="F688" s="109"/>
      <c r="H688" s="1"/>
      <c r="I688" s="1"/>
      <c r="L688" s="110"/>
      <c r="M688" s="111"/>
      <c r="N688" s="112"/>
      <c r="O688" s="113"/>
      <c r="Q688" s="1"/>
      <c r="R688" s="1"/>
      <c r="S688" s="1"/>
      <c r="T688" s="1"/>
      <c r="U688" s="1"/>
      <c r="V688" s="1"/>
    </row>
    <row r="689">
      <c r="D689" s="4"/>
      <c r="E689" s="114"/>
      <c r="F689" s="109"/>
      <c r="H689" s="1"/>
      <c r="I689" s="1"/>
      <c r="L689" s="110"/>
      <c r="M689" s="111"/>
      <c r="N689" s="112"/>
      <c r="O689" s="113"/>
      <c r="Q689" s="1"/>
      <c r="R689" s="1"/>
      <c r="S689" s="1"/>
      <c r="T689" s="1"/>
      <c r="U689" s="1"/>
      <c r="V689" s="1"/>
    </row>
    <row r="690">
      <c r="D690" s="4"/>
      <c r="E690" s="114"/>
      <c r="F690" s="109"/>
      <c r="H690" s="1"/>
      <c r="I690" s="1"/>
      <c r="L690" s="110"/>
      <c r="M690" s="111"/>
      <c r="N690" s="112"/>
      <c r="O690" s="113"/>
      <c r="Q690" s="1"/>
      <c r="R690" s="1"/>
      <c r="S690" s="1"/>
      <c r="T690" s="1"/>
      <c r="U690" s="1"/>
      <c r="V690" s="1"/>
    </row>
    <row r="691">
      <c r="D691" s="4"/>
      <c r="E691" s="114"/>
      <c r="F691" s="109"/>
      <c r="H691" s="1"/>
      <c r="I691" s="1"/>
      <c r="L691" s="110"/>
      <c r="M691" s="111"/>
      <c r="N691" s="112"/>
      <c r="O691" s="113"/>
      <c r="Q691" s="1"/>
      <c r="R691" s="1"/>
      <c r="S691" s="1"/>
      <c r="T691" s="1"/>
      <c r="U691" s="1"/>
      <c r="V691" s="1"/>
    </row>
    <row r="692">
      <c r="D692" s="4"/>
      <c r="E692" s="114"/>
      <c r="F692" s="109"/>
      <c r="H692" s="1"/>
      <c r="I692" s="1"/>
      <c r="L692" s="110"/>
      <c r="M692" s="111"/>
      <c r="N692" s="112"/>
      <c r="O692" s="113"/>
      <c r="Q692" s="1"/>
      <c r="R692" s="1"/>
      <c r="S692" s="1"/>
      <c r="T692" s="1"/>
      <c r="U692" s="1"/>
      <c r="V692" s="1"/>
    </row>
    <row r="693">
      <c r="D693" s="4"/>
      <c r="E693" s="114"/>
      <c r="F693" s="109"/>
      <c r="H693" s="1"/>
      <c r="I693" s="1"/>
      <c r="L693" s="110"/>
      <c r="M693" s="111"/>
      <c r="N693" s="112"/>
      <c r="O693" s="113"/>
      <c r="Q693" s="1"/>
      <c r="R693" s="1"/>
      <c r="S693" s="1"/>
      <c r="T693" s="1"/>
      <c r="U693" s="1"/>
      <c r="V693" s="1"/>
    </row>
    <row r="694">
      <c r="D694" s="4"/>
      <c r="E694" s="114"/>
      <c r="F694" s="109"/>
      <c r="H694" s="1"/>
      <c r="I694" s="1"/>
      <c r="L694" s="110"/>
      <c r="M694" s="111"/>
      <c r="N694" s="112"/>
      <c r="O694" s="113"/>
      <c r="Q694" s="1"/>
      <c r="R694" s="1"/>
      <c r="S694" s="1"/>
      <c r="T694" s="1"/>
      <c r="U694" s="1"/>
      <c r="V694" s="1"/>
    </row>
    <row r="695">
      <c r="D695" s="4"/>
      <c r="E695" s="114"/>
      <c r="F695" s="109"/>
      <c r="H695" s="1"/>
      <c r="I695" s="1"/>
      <c r="L695" s="110"/>
      <c r="M695" s="111"/>
      <c r="N695" s="112"/>
      <c r="O695" s="113"/>
      <c r="Q695" s="1"/>
      <c r="R695" s="1"/>
      <c r="S695" s="1"/>
      <c r="T695" s="1"/>
      <c r="U695" s="1"/>
      <c r="V695" s="1"/>
    </row>
    <row r="696">
      <c r="D696" s="4"/>
      <c r="E696" s="114"/>
      <c r="F696" s="109"/>
      <c r="H696" s="1"/>
      <c r="I696" s="1"/>
      <c r="L696" s="110"/>
      <c r="M696" s="111"/>
      <c r="N696" s="112"/>
      <c r="O696" s="113"/>
      <c r="Q696" s="1"/>
      <c r="R696" s="1"/>
      <c r="S696" s="1"/>
      <c r="T696" s="1"/>
      <c r="U696" s="1"/>
      <c r="V696" s="1"/>
    </row>
    <row r="697">
      <c r="D697" s="4"/>
      <c r="E697" s="114"/>
      <c r="F697" s="109"/>
      <c r="H697" s="1"/>
      <c r="I697" s="1"/>
      <c r="L697" s="110"/>
      <c r="M697" s="111"/>
      <c r="N697" s="112"/>
      <c r="O697" s="113"/>
      <c r="Q697" s="1"/>
      <c r="R697" s="1"/>
      <c r="S697" s="1"/>
      <c r="T697" s="1"/>
      <c r="U697" s="1"/>
      <c r="V697" s="1"/>
    </row>
    <row r="698">
      <c r="D698" s="4"/>
      <c r="E698" s="114"/>
      <c r="F698" s="109"/>
      <c r="H698" s="1"/>
      <c r="I698" s="1"/>
      <c r="L698" s="110"/>
      <c r="M698" s="111"/>
      <c r="N698" s="112"/>
      <c r="O698" s="113"/>
      <c r="Q698" s="1"/>
      <c r="R698" s="1"/>
      <c r="S698" s="1"/>
      <c r="T698" s="1"/>
      <c r="U698" s="1"/>
      <c r="V698" s="1"/>
    </row>
    <row r="699">
      <c r="D699" s="4"/>
      <c r="E699" s="114"/>
      <c r="F699" s="109"/>
      <c r="H699" s="1"/>
      <c r="I699" s="1"/>
      <c r="L699" s="110"/>
      <c r="M699" s="111"/>
      <c r="N699" s="112"/>
      <c r="O699" s="113"/>
      <c r="Q699" s="1"/>
      <c r="R699" s="1"/>
      <c r="S699" s="1"/>
      <c r="T699" s="1"/>
      <c r="U699" s="1"/>
      <c r="V699" s="1"/>
    </row>
    <row r="700">
      <c r="D700" s="4"/>
      <c r="E700" s="114"/>
      <c r="F700" s="109"/>
      <c r="H700" s="1"/>
      <c r="I700" s="1"/>
      <c r="L700" s="110"/>
      <c r="M700" s="111"/>
      <c r="N700" s="112"/>
      <c r="O700" s="113"/>
      <c r="Q700" s="1"/>
      <c r="R700" s="1"/>
      <c r="S700" s="1"/>
      <c r="T700" s="1"/>
      <c r="U700" s="1"/>
      <c r="V700" s="1"/>
    </row>
    <row r="701">
      <c r="D701" s="4"/>
      <c r="E701" s="114"/>
      <c r="F701" s="109"/>
      <c r="H701" s="1"/>
      <c r="I701" s="1"/>
      <c r="L701" s="110"/>
      <c r="M701" s="111"/>
      <c r="N701" s="112"/>
      <c r="O701" s="113"/>
      <c r="Q701" s="1"/>
      <c r="R701" s="1"/>
      <c r="S701" s="1"/>
      <c r="T701" s="1"/>
      <c r="U701" s="1"/>
      <c r="V701" s="1"/>
    </row>
    <row r="702">
      <c r="D702" s="4"/>
      <c r="E702" s="114"/>
      <c r="F702" s="109"/>
      <c r="H702" s="1"/>
      <c r="I702" s="1"/>
      <c r="L702" s="110"/>
      <c r="M702" s="111"/>
      <c r="N702" s="112"/>
      <c r="O702" s="113"/>
      <c r="Q702" s="1"/>
      <c r="R702" s="1"/>
      <c r="S702" s="1"/>
      <c r="T702" s="1"/>
      <c r="U702" s="1"/>
      <c r="V702" s="1"/>
    </row>
    <row r="703">
      <c r="D703" s="4"/>
      <c r="E703" s="114"/>
      <c r="F703" s="109"/>
      <c r="H703" s="1"/>
      <c r="I703" s="1"/>
      <c r="L703" s="110"/>
      <c r="M703" s="111"/>
      <c r="N703" s="112"/>
      <c r="O703" s="113"/>
      <c r="Q703" s="1"/>
      <c r="R703" s="1"/>
      <c r="S703" s="1"/>
      <c r="T703" s="1"/>
      <c r="U703" s="1"/>
      <c r="V703" s="1"/>
    </row>
    <row r="704">
      <c r="D704" s="4"/>
      <c r="E704" s="114"/>
      <c r="F704" s="109"/>
      <c r="H704" s="1"/>
      <c r="I704" s="1"/>
      <c r="L704" s="110"/>
      <c r="M704" s="111"/>
      <c r="N704" s="112"/>
      <c r="O704" s="113"/>
      <c r="Q704" s="1"/>
      <c r="R704" s="1"/>
      <c r="S704" s="1"/>
      <c r="T704" s="1"/>
      <c r="U704" s="1"/>
      <c r="V704" s="1"/>
    </row>
    <row r="705">
      <c r="D705" s="4"/>
      <c r="E705" s="114"/>
      <c r="F705" s="109"/>
      <c r="H705" s="1"/>
      <c r="I705" s="1"/>
      <c r="L705" s="110"/>
      <c r="M705" s="111"/>
      <c r="N705" s="112"/>
      <c r="O705" s="113"/>
      <c r="Q705" s="1"/>
      <c r="R705" s="1"/>
      <c r="S705" s="1"/>
      <c r="T705" s="1"/>
      <c r="U705" s="1"/>
      <c r="V705" s="1"/>
    </row>
    <row r="706">
      <c r="D706" s="4"/>
      <c r="E706" s="114"/>
      <c r="F706" s="109"/>
      <c r="H706" s="1"/>
      <c r="I706" s="1"/>
      <c r="L706" s="110"/>
      <c r="M706" s="111"/>
      <c r="N706" s="112"/>
      <c r="O706" s="113"/>
      <c r="Q706" s="1"/>
      <c r="R706" s="1"/>
      <c r="S706" s="1"/>
      <c r="T706" s="1"/>
      <c r="U706" s="1"/>
      <c r="V706" s="1"/>
    </row>
    <row r="707">
      <c r="D707" s="4"/>
      <c r="E707" s="114"/>
      <c r="F707" s="109"/>
      <c r="H707" s="1"/>
      <c r="I707" s="1"/>
      <c r="L707" s="110"/>
      <c r="M707" s="111"/>
      <c r="N707" s="112"/>
      <c r="O707" s="113"/>
      <c r="Q707" s="1"/>
      <c r="R707" s="1"/>
      <c r="S707" s="1"/>
      <c r="T707" s="1"/>
      <c r="U707" s="1"/>
      <c r="V707" s="1"/>
    </row>
    <row r="708">
      <c r="D708" s="4"/>
      <c r="E708" s="114"/>
      <c r="F708" s="109"/>
      <c r="H708" s="1"/>
      <c r="I708" s="1"/>
      <c r="L708" s="110"/>
      <c r="M708" s="111"/>
      <c r="N708" s="112"/>
      <c r="O708" s="113"/>
      <c r="Q708" s="1"/>
      <c r="R708" s="1"/>
      <c r="S708" s="1"/>
      <c r="T708" s="1"/>
      <c r="U708" s="1"/>
      <c r="V708" s="1"/>
    </row>
    <row r="709">
      <c r="D709" s="4"/>
      <c r="E709" s="114"/>
      <c r="F709" s="109"/>
      <c r="H709" s="1"/>
      <c r="I709" s="1"/>
      <c r="L709" s="110"/>
      <c r="M709" s="111"/>
      <c r="N709" s="112"/>
      <c r="O709" s="113"/>
      <c r="Q709" s="1"/>
      <c r="R709" s="1"/>
      <c r="S709" s="1"/>
      <c r="T709" s="1"/>
      <c r="U709" s="1"/>
      <c r="V709" s="1"/>
    </row>
    <row r="710">
      <c r="D710" s="4"/>
      <c r="E710" s="114"/>
      <c r="F710" s="109"/>
      <c r="H710" s="1"/>
      <c r="I710" s="1"/>
      <c r="L710" s="110"/>
      <c r="M710" s="111"/>
      <c r="N710" s="112"/>
      <c r="O710" s="113"/>
      <c r="Q710" s="1"/>
      <c r="R710" s="1"/>
      <c r="S710" s="1"/>
      <c r="T710" s="1"/>
      <c r="U710" s="1"/>
      <c r="V710" s="1"/>
    </row>
    <row r="711">
      <c r="D711" s="4"/>
      <c r="E711" s="114"/>
      <c r="F711" s="109"/>
      <c r="H711" s="1"/>
      <c r="I711" s="1"/>
      <c r="L711" s="110"/>
      <c r="M711" s="111"/>
      <c r="N711" s="112"/>
      <c r="O711" s="113"/>
      <c r="Q711" s="1"/>
      <c r="R711" s="1"/>
      <c r="S711" s="1"/>
      <c r="T711" s="1"/>
      <c r="U711" s="1"/>
      <c r="V711" s="1"/>
    </row>
    <row r="712">
      <c r="D712" s="4"/>
      <c r="E712" s="114"/>
      <c r="F712" s="109"/>
      <c r="H712" s="1"/>
      <c r="I712" s="1"/>
      <c r="L712" s="110"/>
      <c r="M712" s="111"/>
      <c r="N712" s="112"/>
      <c r="O712" s="113"/>
      <c r="Q712" s="1"/>
      <c r="R712" s="1"/>
      <c r="S712" s="1"/>
      <c r="T712" s="1"/>
      <c r="U712" s="1"/>
      <c r="V712" s="1"/>
    </row>
    <row r="713">
      <c r="D713" s="4"/>
      <c r="E713" s="114"/>
      <c r="F713" s="109"/>
      <c r="H713" s="1"/>
      <c r="I713" s="1"/>
      <c r="L713" s="110"/>
      <c r="M713" s="111"/>
      <c r="N713" s="112"/>
      <c r="O713" s="113"/>
      <c r="Q713" s="1"/>
      <c r="R713" s="1"/>
      <c r="S713" s="1"/>
      <c r="T713" s="1"/>
      <c r="U713" s="1"/>
      <c r="V713" s="1"/>
    </row>
    <row r="714">
      <c r="D714" s="4"/>
      <c r="E714" s="114"/>
      <c r="F714" s="109"/>
      <c r="H714" s="1"/>
      <c r="I714" s="1"/>
      <c r="L714" s="110"/>
      <c r="M714" s="111"/>
      <c r="N714" s="112"/>
      <c r="O714" s="113"/>
      <c r="Q714" s="1"/>
      <c r="R714" s="1"/>
      <c r="S714" s="1"/>
      <c r="T714" s="1"/>
      <c r="U714" s="1"/>
      <c r="V714" s="1"/>
    </row>
    <row r="715">
      <c r="D715" s="4"/>
      <c r="E715" s="114"/>
      <c r="F715" s="109"/>
      <c r="H715" s="1"/>
      <c r="I715" s="1"/>
      <c r="L715" s="110"/>
      <c r="M715" s="111"/>
      <c r="N715" s="112"/>
      <c r="O715" s="113"/>
      <c r="Q715" s="1"/>
      <c r="R715" s="1"/>
      <c r="S715" s="1"/>
      <c r="T715" s="1"/>
      <c r="U715" s="1"/>
      <c r="V715" s="1"/>
    </row>
    <row r="716">
      <c r="D716" s="4"/>
      <c r="E716" s="114"/>
      <c r="F716" s="109"/>
      <c r="H716" s="1"/>
      <c r="I716" s="1"/>
      <c r="L716" s="110"/>
      <c r="M716" s="111"/>
      <c r="N716" s="112"/>
      <c r="O716" s="113"/>
      <c r="Q716" s="1"/>
      <c r="R716" s="1"/>
      <c r="S716" s="1"/>
      <c r="T716" s="1"/>
      <c r="U716" s="1"/>
      <c r="V716" s="1"/>
    </row>
    <row r="717">
      <c r="D717" s="4"/>
      <c r="E717" s="114"/>
      <c r="F717" s="109"/>
      <c r="H717" s="1"/>
      <c r="I717" s="1"/>
      <c r="L717" s="110"/>
      <c r="M717" s="111"/>
      <c r="N717" s="112"/>
      <c r="O717" s="113"/>
      <c r="Q717" s="1"/>
      <c r="R717" s="1"/>
      <c r="S717" s="1"/>
      <c r="T717" s="1"/>
      <c r="U717" s="1"/>
      <c r="V717" s="1"/>
    </row>
    <row r="718">
      <c r="D718" s="4"/>
      <c r="E718" s="114"/>
      <c r="F718" s="109"/>
      <c r="H718" s="1"/>
      <c r="I718" s="1"/>
      <c r="L718" s="110"/>
      <c r="M718" s="111"/>
      <c r="N718" s="112"/>
      <c r="O718" s="113"/>
      <c r="Q718" s="1"/>
      <c r="R718" s="1"/>
      <c r="S718" s="1"/>
      <c r="T718" s="1"/>
      <c r="U718" s="1"/>
      <c r="V718" s="1"/>
    </row>
    <row r="719">
      <c r="D719" s="4"/>
      <c r="E719" s="114"/>
      <c r="F719" s="109"/>
      <c r="H719" s="1"/>
      <c r="I719" s="1"/>
      <c r="L719" s="110"/>
      <c r="M719" s="111"/>
      <c r="N719" s="112"/>
      <c r="O719" s="113"/>
      <c r="Q719" s="1"/>
      <c r="R719" s="1"/>
      <c r="S719" s="1"/>
      <c r="T719" s="1"/>
      <c r="U719" s="1"/>
      <c r="V719" s="1"/>
    </row>
    <row r="720">
      <c r="D720" s="4"/>
      <c r="E720" s="114"/>
      <c r="F720" s="109"/>
      <c r="H720" s="1"/>
      <c r="I720" s="1"/>
      <c r="L720" s="110"/>
      <c r="M720" s="111"/>
      <c r="N720" s="112"/>
      <c r="O720" s="113"/>
      <c r="Q720" s="1"/>
      <c r="R720" s="1"/>
      <c r="S720" s="1"/>
      <c r="T720" s="1"/>
      <c r="U720" s="1"/>
      <c r="V720" s="1"/>
    </row>
    <row r="721">
      <c r="D721" s="4"/>
      <c r="E721" s="114"/>
      <c r="F721" s="109"/>
      <c r="H721" s="1"/>
      <c r="I721" s="1"/>
      <c r="L721" s="110"/>
      <c r="M721" s="111"/>
      <c r="N721" s="112"/>
      <c r="O721" s="113"/>
      <c r="Q721" s="1"/>
      <c r="R721" s="1"/>
      <c r="S721" s="1"/>
      <c r="T721" s="1"/>
      <c r="U721" s="1"/>
      <c r="V721" s="1"/>
    </row>
    <row r="722">
      <c r="D722" s="4"/>
      <c r="E722" s="114"/>
      <c r="F722" s="109"/>
      <c r="H722" s="1"/>
      <c r="I722" s="1"/>
      <c r="L722" s="110"/>
      <c r="M722" s="111"/>
      <c r="N722" s="112"/>
      <c r="O722" s="113"/>
      <c r="Q722" s="1"/>
      <c r="R722" s="1"/>
      <c r="S722" s="1"/>
      <c r="T722" s="1"/>
      <c r="U722" s="1"/>
      <c r="V722" s="1"/>
    </row>
    <row r="723">
      <c r="D723" s="4"/>
      <c r="E723" s="114"/>
      <c r="F723" s="109"/>
      <c r="H723" s="1"/>
      <c r="I723" s="1"/>
      <c r="L723" s="110"/>
      <c r="M723" s="111"/>
      <c r="N723" s="112"/>
      <c r="O723" s="113"/>
      <c r="Q723" s="1"/>
      <c r="R723" s="1"/>
      <c r="S723" s="1"/>
      <c r="T723" s="1"/>
      <c r="U723" s="1"/>
      <c r="V723" s="1"/>
    </row>
    <row r="724">
      <c r="D724" s="4"/>
      <c r="E724" s="114"/>
      <c r="F724" s="109"/>
      <c r="H724" s="1"/>
      <c r="I724" s="1"/>
      <c r="L724" s="110"/>
      <c r="M724" s="111"/>
      <c r="N724" s="112"/>
      <c r="O724" s="113"/>
      <c r="Q724" s="1"/>
      <c r="R724" s="1"/>
      <c r="S724" s="1"/>
      <c r="T724" s="1"/>
      <c r="U724" s="1"/>
      <c r="V724" s="1"/>
    </row>
    <row r="725">
      <c r="D725" s="4"/>
      <c r="E725" s="114"/>
      <c r="F725" s="109"/>
      <c r="H725" s="1"/>
      <c r="I725" s="1"/>
      <c r="L725" s="110"/>
      <c r="M725" s="111"/>
      <c r="N725" s="112"/>
      <c r="O725" s="113"/>
      <c r="Q725" s="1"/>
      <c r="R725" s="1"/>
      <c r="S725" s="1"/>
      <c r="T725" s="1"/>
      <c r="U725" s="1"/>
      <c r="V725" s="1"/>
    </row>
    <row r="726">
      <c r="D726" s="4"/>
      <c r="E726" s="114"/>
      <c r="F726" s="109"/>
      <c r="H726" s="1"/>
      <c r="I726" s="1"/>
      <c r="L726" s="110"/>
      <c r="M726" s="111"/>
      <c r="N726" s="112"/>
      <c r="O726" s="113"/>
      <c r="Q726" s="1"/>
      <c r="R726" s="1"/>
      <c r="S726" s="1"/>
      <c r="T726" s="1"/>
      <c r="U726" s="1"/>
      <c r="V726" s="1"/>
    </row>
    <row r="727">
      <c r="D727" s="4"/>
      <c r="E727" s="114"/>
      <c r="F727" s="109"/>
      <c r="H727" s="1"/>
      <c r="I727" s="1"/>
      <c r="L727" s="110"/>
      <c r="M727" s="111"/>
      <c r="N727" s="112"/>
      <c r="O727" s="113"/>
      <c r="Q727" s="1"/>
      <c r="R727" s="1"/>
      <c r="S727" s="1"/>
      <c r="T727" s="1"/>
      <c r="U727" s="1"/>
      <c r="V727" s="1"/>
    </row>
    <row r="728">
      <c r="D728" s="4"/>
      <c r="E728" s="114"/>
      <c r="F728" s="109"/>
      <c r="H728" s="1"/>
      <c r="I728" s="1"/>
      <c r="L728" s="110"/>
      <c r="M728" s="111"/>
      <c r="N728" s="112"/>
      <c r="O728" s="113"/>
      <c r="Q728" s="1"/>
      <c r="R728" s="1"/>
      <c r="S728" s="1"/>
      <c r="T728" s="1"/>
      <c r="U728" s="1"/>
      <c r="V728" s="1"/>
    </row>
    <row r="729">
      <c r="D729" s="4"/>
      <c r="E729" s="114"/>
      <c r="F729" s="109"/>
      <c r="H729" s="1"/>
      <c r="I729" s="1"/>
      <c r="L729" s="110"/>
      <c r="M729" s="111"/>
      <c r="N729" s="112"/>
      <c r="O729" s="113"/>
      <c r="Q729" s="1"/>
      <c r="R729" s="1"/>
      <c r="S729" s="1"/>
      <c r="T729" s="1"/>
      <c r="U729" s="1"/>
      <c r="V729" s="1"/>
    </row>
    <row r="730">
      <c r="D730" s="4"/>
      <c r="E730" s="114"/>
      <c r="F730" s="109"/>
      <c r="H730" s="1"/>
      <c r="I730" s="1"/>
      <c r="L730" s="110"/>
      <c r="M730" s="111"/>
      <c r="N730" s="112"/>
      <c r="O730" s="113"/>
      <c r="Q730" s="1"/>
      <c r="R730" s="1"/>
      <c r="S730" s="1"/>
      <c r="T730" s="1"/>
      <c r="U730" s="1"/>
      <c r="V730" s="1"/>
    </row>
    <row r="731">
      <c r="D731" s="4"/>
      <c r="E731" s="114"/>
      <c r="F731" s="109"/>
      <c r="H731" s="1"/>
      <c r="I731" s="1"/>
      <c r="L731" s="110"/>
      <c r="M731" s="111"/>
      <c r="N731" s="112"/>
      <c r="O731" s="113"/>
      <c r="Q731" s="1"/>
      <c r="R731" s="1"/>
      <c r="S731" s="1"/>
      <c r="T731" s="1"/>
      <c r="U731" s="1"/>
      <c r="V731" s="1"/>
    </row>
    <row r="732">
      <c r="D732" s="4"/>
      <c r="E732" s="114"/>
      <c r="F732" s="109"/>
      <c r="H732" s="1"/>
      <c r="I732" s="1"/>
      <c r="L732" s="110"/>
      <c r="M732" s="111"/>
      <c r="N732" s="112"/>
      <c r="O732" s="113"/>
      <c r="Q732" s="1"/>
      <c r="R732" s="1"/>
      <c r="S732" s="1"/>
      <c r="T732" s="1"/>
      <c r="U732" s="1"/>
      <c r="V732" s="1"/>
    </row>
    <row r="733">
      <c r="D733" s="4"/>
      <c r="E733" s="114"/>
      <c r="F733" s="109"/>
      <c r="H733" s="1"/>
      <c r="I733" s="1"/>
      <c r="L733" s="110"/>
      <c r="M733" s="111"/>
      <c r="N733" s="112"/>
      <c r="O733" s="113"/>
      <c r="Q733" s="1"/>
      <c r="R733" s="1"/>
      <c r="S733" s="1"/>
      <c r="T733" s="1"/>
      <c r="U733" s="1"/>
      <c r="V733" s="1"/>
    </row>
    <row r="734">
      <c r="D734" s="4"/>
      <c r="E734" s="114"/>
      <c r="F734" s="109"/>
      <c r="H734" s="1"/>
      <c r="I734" s="1"/>
      <c r="L734" s="110"/>
      <c r="M734" s="111"/>
      <c r="N734" s="112"/>
      <c r="O734" s="113"/>
      <c r="Q734" s="1"/>
      <c r="R734" s="1"/>
      <c r="S734" s="1"/>
      <c r="T734" s="1"/>
      <c r="U734" s="1"/>
      <c r="V734" s="1"/>
    </row>
    <row r="735">
      <c r="D735" s="4"/>
      <c r="E735" s="114"/>
      <c r="F735" s="109"/>
      <c r="H735" s="1"/>
      <c r="I735" s="1"/>
      <c r="L735" s="110"/>
      <c r="M735" s="111"/>
      <c r="N735" s="112"/>
      <c r="O735" s="113"/>
      <c r="Q735" s="1"/>
      <c r="R735" s="1"/>
      <c r="S735" s="1"/>
      <c r="T735" s="1"/>
      <c r="U735" s="1"/>
      <c r="V735" s="1"/>
    </row>
    <row r="736">
      <c r="D736" s="4"/>
      <c r="E736" s="114"/>
      <c r="F736" s="109"/>
      <c r="H736" s="1"/>
      <c r="I736" s="1"/>
      <c r="L736" s="110"/>
      <c r="M736" s="111"/>
      <c r="N736" s="112"/>
      <c r="O736" s="113"/>
      <c r="Q736" s="1"/>
      <c r="R736" s="1"/>
      <c r="S736" s="1"/>
      <c r="T736" s="1"/>
      <c r="U736" s="1"/>
      <c r="V736" s="1"/>
    </row>
    <row r="737">
      <c r="D737" s="4"/>
      <c r="E737" s="114"/>
      <c r="F737" s="109"/>
      <c r="H737" s="1"/>
      <c r="I737" s="1"/>
      <c r="L737" s="110"/>
      <c r="M737" s="111"/>
      <c r="N737" s="112"/>
      <c r="O737" s="113"/>
      <c r="Q737" s="1"/>
      <c r="R737" s="1"/>
      <c r="S737" s="1"/>
      <c r="T737" s="1"/>
      <c r="U737" s="1"/>
      <c r="V737" s="1"/>
    </row>
    <row r="738">
      <c r="D738" s="4"/>
      <c r="E738" s="114"/>
      <c r="F738" s="109"/>
      <c r="H738" s="1"/>
      <c r="I738" s="1"/>
      <c r="L738" s="110"/>
      <c r="M738" s="111"/>
      <c r="N738" s="112"/>
      <c r="O738" s="113"/>
      <c r="Q738" s="1"/>
      <c r="R738" s="1"/>
      <c r="S738" s="1"/>
      <c r="T738" s="1"/>
      <c r="U738" s="1"/>
      <c r="V738" s="1"/>
    </row>
    <row r="739">
      <c r="D739" s="4"/>
      <c r="E739" s="114"/>
      <c r="F739" s="109"/>
      <c r="H739" s="1"/>
      <c r="I739" s="1"/>
      <c r="L739" s="110"/>
      <c r="M739" s="111"/>
      <c r="N739" s="112"/>
      <c r="O739" s="113"/>
      <c r="Q739" s="1"/>
      <c r="R739" s="1"/>
      <c r="S739" s="1"/>
      <c r="T739" s="1"/>
      <c r="U739" s="1"/>
      <c r="V739" s="1"/>
    </row>
    <row r="740">
      <c r="D740" s="4"/>
      <c r="E740" s="114"/>
      <c r="F740" s="109"/>
      <c r="H740" s="1"/>
      <c r="I740" s="1"/>
      <c r="L740" s="110"/>
      <c r="M740" s="111"/>
      <c r="N740" s="112"/>
      <c r="O740" s="113"/>
      <c r="Q740" s="1"/>
      <c r="R740" s="1"/>
      <c r="S740" s="1"/>
      <c r="T740" s="1"/>
      <c r="U740" s="1"/>
      <c r="V740" s="1"/>
    </row>
    <row r="741">
      <c r="D741" s="4"/>
      <c r="E741" s="114"/>
      <c r="F741" s="109"/>
      <c r="H741" s="1"/>
      <c r="I741" s="1"/>
      <c r="L741" s="110"/>
      <c r="M741" s="111"/>
      <c r="N741" s="112"/>
      <c r="O741" s="113"/>
      <c r="Q741" s="1"/>
      <c r="R741" s="1"/>
      <c r="S741" s="1"/>
      <c r="T741" s="1"/>
      <c r="U741" s="1"/>
      <c r="V741" s="1"/>
    </row>
    <row r="742">
      <c r="D742" s="4"/>
      <c r="E742" s="114"/>
      <c r="F742" s="109"/>
      <c r="H742" s="1"/>
      <c r="I742" s="1"/>
      <c r="L742" s="110"/>
      <c r="M742" s="111"/>
      <c r="N742" s="112"/>
      <c r="O742" s="113"/>
      <c r="Q742" s="1"/>
      <c r="R742" s="1"/>
      <c r="S742" s="1"/>
      <c r="T742" s="1"/>
      <c r="U742" s="1"/>
      <c r="V742" s="1"/>
    </row>
    <row r="743">
      <c r="D743" s="4"/>
      <c r="E743" s="114"/>
      <c r="F743" s="109"/>
      <c r="H743" s="1"/>
      <c r="I743" s="1"/>
      <c r="L743" s="110"/>
      <c r="M743" s="111"/>
      <c r="N743" s="112"/>
      <c r="O743" s="113"/>
      <c r="Q743" s="1"/>
      <c r="R743" s="1"/>
      <c r="S743" s="1"/>
      <c r="T743" s="1"/>
      <c r="U743" s="1"/>
      <c r="V743" s="1"/>
    </row>
    <row r="744">
      <c r="D744" s="4"/>
      <c r="E744" s="114"/>
      <c r="F744" s="109"/>
      <c r="H744" s="1"/>
      <c r="I744" s="1"/>
      <c r="L744" s="110"/>
      <c r="M744" s="111"/>
      <c r="N744" s="112"/>
      <c r="O744" s="113"/>
      <c r="Q744" s="1"/>
      <c r="R744" s="1"/>
      <c r="S744" s="1"/>
      <c r="T744" s="1"/>
      <c r="U744" s="1"/>
      <c r="V744" s="1"/>
    </row>
    <row r="745">
      <c r="D745" s="4"/>
      <c r="E745" s="114"/>
      <c r="F745" s="109"/>
      <c r="H745" s="1"/>
      <c r="I745" s="1"/>
      <c r="L745" s="110"/>
      <c r="M745" s="111"/>
      <c r="N745" s="112"/>
      <c r="O745" s="113"/>
      <c r="Q745" s="1"/>
      <c r="R745" s="1"/>
      <c r="S745" s="1"/>
      <c r="T745" s="1"/>
      <c r="U745" s="1"/>
      <c r="V745" s="1"/>
    </row>
    <row r="746">
      <c r="D746" s="4"/>
      <c r="E746" s="114"/>
      <c r="F746" s="109"/>
      <c r="H746" s="1"/>
      <c r="I746" s="1"/>
      <c r="L746" s="110"/>
      <c r="M746" s="111"/>
      <c r="N746" s="112"/>
      <c r="O746" s="113"/>
      <c r="Q746" s="1"/>
      <c r="R746" s="1"/>
      <c r="S746" s="1"/>
      <c r="T746" s="1"/>
      <c r="U746" s="1"/>
      <c r="V746" s="1"/>
    </row>
    <row r="747">
      <c r="D747" s="4"/>
      <c r="E747" s="114"/>
      <c r="F747" s="109"/>
      <c r="H747" s="1"/>
      <c r="I747" s="1"/>
      <c r="L747" s="110"/>
      <c r="M747" s="111"/>
      <c r="N747" s="112"/>
      <c r="O747" s="113"/>
      <c r="Q747" s="1"/>
      <c r="R747" s="1"/>
      <c r="S747" s="1"/>
      <c r="T747" s="1"/>
      <c r="U747" s="1"/>
      <c r="V747" s="1"/>
    </row>
    <row r="748">
      <c r="D748" s="4"/>
      <c r="E748" s="114"/>
      <c r="F748" s="109"/>
      <c r="H748" s="1"/>
      <c r="I748" s="1"/>
      <c r="L748" s="110"/>
      <c r="M748" s="111"/>
      <c r="N748" s="112"/>
      <c r="O748" s="113"/>
      <c r="Q748" s="1"/>
      <c r="R748" s="1"/>
      <c r="S748" s="1"/>
      <c r="T748" s="1"/>
      <c r="U748" s="1"/>
      <c r="V748" s="1"/>
    </row>
    <row r="749">
      <c r="D749" s="4"/>
      <c r="E749" s="114"/>
      <c r="F749" s="109"/>
      <c r="H749" s="1"/>
      <c r="I749" s="1"/>
      <c r="L749" s="110"/>
      <c r="M749" s="111"/>
      <c r="N749" s="112"/>
      <c r="O749" s="113"/>
      <c r="Q749" s="1"/>
      <c r="R749" s="1"/>
      <c r="S749" s="1"/>
      <c r="T749" s="1"/>
      <c r="U749" s="1"/>
      <c r="V749" s="1"/>
    </row>
    <row r="750">
      <c r="D750" s="4"/>
      <c r="E750" s="114"/>
      <c r="F750" s="109"/>
      <c r="H750" s="1"/>
      <c r="I750" s="1"/>
      <c r="L750" s="110"/>
      <c r="M750" s="111"/>
      <c r="N750" s="112"/>
      <c r="O750" s="113"/>
      <c r="Q750" s="1"/>
      <c r="R750" s="1"/>
      <c r="S750" s="1"/>
      <c r="T750" s="1"/>
      <c r="U750" s="1"/>
      <c r="V750" s="1"/>
    </row>
    <row r="751">
      <c r="D751" s="4"/>
      <c r="E751" s="114"/>
      <c r="F751" s="109"/>
      <c r="H751" s="1"/>
      <c r="I751" s="1"/>
      <c r="L751" s="110"/>
      <c r="M751" s="111"/>
      <c r="N751" s="112"/>
      <c r="O751" s="113"/>
      <c r="Q751" s="1"/>
      <c r="R751" s="1"/>
      <c r="S751" s="1"/>
      <c r="T751" s="1"/>
      <c r="U751" s="1"/>
      <c r="V751" s="1"/>
    </row>
    <row r="752">
      <c r="D752" s="4"/>
      <c r="E752" s="114"/>
      <c r="F752" s="109"/>
      <c r="H752" s="1"/>
      <c r="I752" s="1"/>
      <c r="L752" s="110"/>
      <c r="M752" s="111"/>
      <c r="N752" s="112"/>
      <c r="O752" s="113"/>
      <c r="Q752" s="1"/>
      <c r="R752" s="1"/>
      <c r="S752" s="1"/>
      <c r="T752" s="1"/>
      <c r="U752" s="1"/>
      <c r="V752" s="1"/>
    </row>
    <row r="753">
      <c r="D753" s="4"/>
      <c r="E753" s="114"/>
      <c r="F753" s="109"/>
      <c r="H753" s="1"/>
      <c r="I753" s="1"/>
      <c r="L753" s="110"/>
      <c r="M753" s="111"/>
      <c r="N753" s="112"/>
      <c r="O753" s="113"/>
      <c r="Q753" s="1"/>
      <c r="R753" s="1"/>
      <c r="S753" s="1"/>
      <c r="T753" s="1"/>
      <c r="U753" s="1"/>
      <c r="V753" s="1"/>
    </row>
    <row r="754">
      <c r="D754" s="4"/>
      <c r="E754" s="114"/>
      <c r="F754" s="109"/>
      <c r="H754" s="1"/>
      <c r="I754" s="1"/>
      <c r="L754" s="110"/>
      <c r="M754" s="111"/>
      <c r="N754" s="112"/>
      <c r="O754" s="113"/>
      <c r="Q754" s="1"/>
      <c r="R754" s="1"/>
      <c r="S754" s="1"/>
      <c r="T754" s="1"/>
      <c r="U754" s="1"/>
      <c r="V754" s="1"/>
    </row>
    <row r="755">
      <c r="D755" s="4"/>
      <c r="E755" s="114"/>
      <c r="F755" s="109"/>
      <c r="H755" s="1"/>
      <c r="I755" s="1"/>
      <c r="L755" s="110"/>
      <c r="M755" s="111"/>
      <c r="N755" s="112"/>
      <c r="O755" s="113"/>
      <c r="Q755" s="1"/>
      <c r="R755" s="1"/>
      <c r="S755" s="1"/>
      <c r="T755" s="1"/>
      <c r="U755" s="1"/>
      <c r="V755" s="1"/>
    </row>
    <row r="756">
      <c r="D756" s="4"/>
      <c r="E756" s="114"/>
      <c r="F756" s="109"/>
      <c r="H756" s="1"/>
      <c r="I756" s="1"/>
      <c r="L756" s="110"/>
      <c r="M756" s="111"/>
      <c r="N756" s="112"/>
      <c r="O756" s="113"/>
      <c r="Q756" s="1"/>
      <c r="R756" s="1"/>
      <c r="S756" s="1"/>
      <c r="T756" s="1"/>
      <c r="U756" s="1"/>
      <c r="V756" s="1"/>
    </row>
    <row r="757">
      <c r="D757" s="4"/>
      <c r="E757" s="114"/>
      <c r="F757" s="109"/>
      <c r="H757" s="1"/>
      <c r="I757" s="1"/>
      <c r="L757" s="110"/>
      <c r="M757" s="111"/>
      <c r="N757" s="112"/>
      <c r="O757" s="113"/>
      <c r="Q757" s="1"/>
      <c r="R757" s="1"/>
      <c r="S757" s="1"/>
      <c r="T757" s="1"/>
      <c r="U757" s="1"/>
      <c r="V757" s="1"/>
    </row>
    <row r="758">
      <c r="D758" s="4"/>
      <c r="E758" s="114"/>
      <c r="F758" s="109"/>
      <c r="H758" s="1"/>
      <c r="I758" s="1"/>
      <c r="L758" s="110"/>
      <c r="M758" s="111"/>
      <c r="N758" s="112"/>
      <c r="O758" s="113"/>
      <c r="Q758" s="1"/>
      <c r="R758" s="1"/>
      <c r="S758" s="1"/>
      <c r="T758" s="1"/>
      <c r="U758" s="1"/>
      <c r="V758" s="1"/>
    </row>
    <row r="759">
      <c r="D759" s="4"/>
      <c r="E759" s="114"/>
      <c r="F759" s="109"/>
      <c r="H759" s="1"/>
      <c r="I759" s="1"/>
      <c r="L759" s="110"/>
      <c r="M759" s="111"/>
      <c r="N759" s="112"/>
      <c r="O759" s="113"/>
      <c r="Q759" s="1"/>
      <c r="R759" s="1"/>
      <c r="S759" s="1"/>
      <c r="T759" s="1"/>
      <c r="U759" s="1"/>
      <c r="V759" s="1"/>
    </row>
    <row r="760">
      <c r="D760" s="4"/>
      <c r="E760" s="114"/>
      <c r="F760" s="109"/>
      <c r="H760" s="1"/>
      <c r="I760" s="1"/>
      <c r="L760" s="110"/>
      <c r="M760" s="111"/>
      <c r="N760" s="112"/>
      <c r="O760" s="113"/>
      <c r="Q760" s="1"/>
      <c r="R760" s="1"/>
      <c r="S760" s="1"/>
      <c r="T760" s="1"/>
      <c r="U760" s="1"/>
      <c r="V760" s="1"/>
    </row>
    <row r="761">
      <c r="D761" s="4"/>
      <c r="E761" s="114"/>
      <c r="F761" s="109"/>
      <c r="H761" s="1"/>
      <c r="I761" s="1"/>
      <c r="L761" s="110"/>
      <c r="M761" s="111"/>
      <c r="N761" s="112"/>
      <c r="O761" s="113"/>
      <c r="Q761" s="1"/>
      <c r="R761" s="1"/>
      <c r="S761" s="1"/>
      <c r="T761" s="1"/>
      <c r="U761" s="1"/>
      <c r="V761" s="1"/>
    </row>
    <row r="762">
      <c r="D762" s="4"/>
      <c r="E762" s="114"/>
      <c r="F762" s="109"/>
      <c r="H762" s="1"/>
      <c r="I762" s="1"/>
      <c r="L762" s="110"/>
      <c r="M762" s="111"/>
      <c r="N762" s="112"/>
      <c r="O762" s="113"/>
      <c r="Q762" s="1"/>
      <c r="R762" s="1"/>
      <c r="S762" s="1"/>
      <c r="T762" s="1"/>
      <c r="U762" s="1"/>
      <c r="V762" s="1"/>
    </row>
    <row r="763">
      <c r="D763" s="4"/>
      <c r="E763" s="114"/>
      <c r="F763" s="109"/>
      <c r="H763" s="1"/>
      <c r="I763" s="1"/>
      <c r="L763" s="110"/>
      <c r="M763" s="111"/>
      <c r="N763" s="112"/>
      <c r="O763" s="113"/>
      <c r="Q763" s="1"/>
      <c r="R763" s="1"/>
      <c r="S763" s="1"/>
      <c r="T763" s="1"/>
      <c r="U763" s="1"/>
      <c r="V763" s="1"/>
    </row>
    <row r="764">
      <c r="D764" s="4"/>
      <c r="E764" s="114"/>
      <c r="F764" s="109"/>
      <c r="H764" s="1"/>
      <c r="I764" s="1"/>
      <c r="L764" s="110"/>
      <c r="M764" s="111"/>
      <c r="N764" s="112"/>
      <c r="O764" s="113"/>
      <c r="Q764" s="1"/>
      <c r="R764" s="1"/>
      <c r="S764" s="1"/>
      <c r="T764" s="1"/>
      <c r="U764" s="1"/>
      <c r="V764" s="1"/>
    </row>
    <row r="765">
      <c r="D765" s="4"/>
      <c r="E765" s="114"/>
      <c r="F765" s="109"/>
      <c r="H765" s="1"/>
      <c r="I765" s="1"/>
      <c r="L765" s="110"/>
      <c r="M765" s="111"/>
      <c r="N765" s="112"/>
      <c r="O765" s="113"/>
      <c r="Q765" s="1"/>
      <c r="R765" s="1"/>
      <c r="S765" s="1"/>
      <c r="T765" s="1"/>
      <c r="U765" s="1"/>
      <c r="V765" s="1"/>
    </row>
    <row r="766">
      <c r="D766" s="4"/>
      <c r="E766" s="114"/>
      <c r="F766" s="109"/>
      <c r="H766" s="1"/>
      <c r="I766" s="1"/>
      <c r="L766" s="110"/>
      <c r="M766" s="111"/>
      <c r="N766" s="112"/>
      <c r="O766" s="113"/>
      <c r="Q766" s="1"/>
      <c r="R766" s="1"/>
      <c r="S766" s="1"/>
      <c r="T766" s="1"/>
      <c r="U766" s="1"/>
      <c r="V766" s="1"/>
    </row>
    <row r="767">
      <c r="D767" s="4"/>
      <c r="E767" s="114"/>
      <c r="F767" s="109"/>
      <c r="H767" s="1"/>
      <c r="I767" s="1"/>
      <c r="L767" s="110"/>
      <c r="M767" s="111"/>
      <c r="N767" s="112"/>
      <c r="O767" s="113"/>
      <c r="Q767" s="1"/>
      <c r="R767" s="1"/>
      <c r="S767" s="1"/>
      <c r="T767" s="1"/>
      <c r="U767" s="1"/>
      <c r="V767" s="1"/>
    </row>
    <row r="768">
      <c r="D768" s="4"/>
      <c r="E768" s="114"/>
      <c r="F768" s="109"/>
      <c r="H768" s="1"/>
      <c r="I768" s="1"/>
      <c r="L768" s="110"/>
      <c r="M768" s="111"/>
      <c r="N768" s="112"/>
      <c r="O768" s="113"/>
      <c r="Q768" s="1"/>
      <c r="R768" s="1"/>
      <c r="S768" s="1"/>
      <c r="T768" s="1"/>
      <c r="U768" s="1"/>
      <c r="V768" s="1"/>
    </row>
    <row r="769">
      <c r="D769" s="4"/>
      <c r="E769" s="114"/>
      <c r="F769" s="109"/>
      <c r="H769" s="1"/>
      <c r="I769" s="1"/>
      <c r="L769" s="110"/>
      <c r="M769" s="111"/>
      <c r="N769" s="112"/>
      <c r="O769" s="113"/>
      <c r="Q769" s="1"/>
      <c r="R769" s="1"/>
      <c r="S769" s="1"/>
      <c r="T769" s="1"/>
      <c r="U769" s="1"/>
      <c r="V769" s="1"/>
    </row>
    <row r="770">
      <c r="D770" s="4"/>
      <c r="E770" s="114"/>
      <c r="F770" s="109"/>
      <c r="H770" s="1"/>
      <c r="I770" s="1"/>
      <c r="L770" s="110"/>
      <c r="M770" s="111"/>
      <c r="N770" s="112"/>
      <c r="O770" s="113"/>
      <c r="Q770" s="1"/>
      <c r="R770" s="1"/>
      <c r="S770" s="1"/>
      <c r="T770" s="1"/>
      <c r="U770" s="1"/>
      <c r="V770" s="1"/>
    </row>
    <row r="771">
      <c r="D771" s="4"/>
      <c r="E771" s="114"/>
      <c r="F771" s="109"/>
      <c r="H771" s="1"/>
      <c r="I771" s="1"/>
      <c r="L771" s="110"/>
      <c r="M771" s="111"/>
      <c r="N771" s="112"/>
      <c r="O771" s="113"/>
      <c r="Q771" s="1"/>
      <c r="R771" s="1"/>
      <c r="S771" s="1"/>
      <c r="T771" s="1"/>
      <c r="U771" s="1"/>
      <c r="V771" s="1"/>
    </row>
    <row r="772">
      <c r="D772" s="4"/>
      <c r="E772" s="114"/>
      <c r="F772" s="109"/>
      <c r="H772" s="1"/>
      <c r="I772" s="1"/>
      <c r="L772" s="110"/>
      <c r="M772" s="111"/>
      <c r="N772" s="112"/>
      <c r="O772" s="113"/>
      <c r="Q772" s="1"/>
      <c r="R772" s="1"/>
      <c r="S772" s="1"/>
      <c r="T772" s="1"/>
      <c r="U772" s="1"/>
      <c r="V772" s="1"/>
    </row>
    <row r="773">
      <c r="D773" s="4"/>
      <c r="E773" s="114"/>
      <c r="F773" s="109"/>
      <c r="H773" s="1"/>
      <c r="I773" s="1"/>
      <c r="L773" s="110"/>
      <c r="M773" s="111"/>
      <c r="N773" s="112"/>
      <c r="O773" s="113"/>
      <c r="Q773" s="1"/>
      <c r="R773" s="1"/>
      <c r="S773" s="1"/>
      <c r="T773" s="1"/>
      <c r="U773" s="1"/>
      <c r="V773" s="1"/>
    </row>
    <row r="774">
      <c r="D774" s="4"/>
      <c r="E774" s="114"/>
      <c r="F774" s="109"/>
      <c r="H774" s="1"/>
      <c r="I774" s="1"/>
      <c r="L774" s="110"/>
      <c r="M774" s="111"/>
      <c r="N774" s="112"/>
      <c r="O774" s="113"/>
      <c r="Q774" s="1"/>
      <c r="R774" s="1"/>
      <c r="S774" s="1"/>
      <c r="T774" s="1"/>
      <c r="U774" s="1"/>
      <c r="V774" s="1"/>
    </row>
    <row r="775">
      <c r="D775" s="4"/>
      <c r="E775" s="114"/>
      <c r="F775" s="109"/>
      <c r="H775" s="1"/>
      <c r="I775" s="1"/>
      <c r="L775" s="110"/>
      <c r="M775" s="111"/>
      <c r="N775" s="112"/>
      <c r="O775" s="113"/>
      <c r="Q775" s="1"/>
      <c r="R775" s="1"/>
      <c r="S775" s="1"/>
      <c r="T775" s="1"/>
      <c r="U775" s="1"/>
      <c r="V775" s="1"/>
    </row>
    <row r="776">
      <c r="D776" s="4"/>
      <c r="E776" s="114"/>
      <c r="F776" s="109"/>
      <c r="H776" s="1"/>
      <c r="I776" s="1"/>
      <c r="L776" s="110"/>
      <c r="M776" s="111"/>
      <c r="N776" s="112"/>
      <c r="O776" s="113"/>
      <c r="Q776" s="1"/>
      <c r="R776" s="1"/>
      <c r="S776" s="1"/>
      <c r="T776" s="1"/>
      <c r="U776" s="1"/>
      <c r="V776" s="1"/>
    </row>
    <row r="777">
      <c r="D777" s="4"/>
      <c r="E777" s="114"/>
      <c r="F777" s="109"/>
      <c r="H777" s="1"/>
      <c r="I777" s="1"/>
      <c r="L777" s="110"/>
      <c r="M777" s="111"/>
      <c r="N777" s="112"/>
      <c r="O777" s="113"/>
      <c r="Q777" s="1"/>
      <c r="R777" s="1"/>
      <c r="S777" s="1"/>
      <c r="T777" s="1"/>
      <c r="U777" s="1"/>
      <c r="V777" s="1"/>
    </row>
    <row r="778">
      <c r="D778" s="4"/>
      <c r="E778" s="114"/>
      <c r="F778" s="109"/>
      <c r="H778" s="1"/>
      <c r="I778" s="1"/>
      <c r="L778" s="110"/>
      <c r="M778" s="111"/>
      <c r="N778" s="112"/>
      <c r="O778" s="113"/>
      <c r="Q778" s="1"/>
      <c r="R778" s="1"/>
      <c r="S778" s="1"/>
      <c r="T778" s="1"/>
      <c r="U778" s="1"/>
      <c r="V778" s="1"/>
    </row>
    <row r="779">
      <c r="D779" s="4"/>
      <c r="E779" s="114"/>
      <c r="F779" s="109"/>
      <c r="H779" s="1"/>
      <c r="I779" s="1"/>
      <c r="L779" s="110"/>
      <c r="M779" s="111"/>
      <c r="N779" s="112"/>
      <c r="O779" s="113"/>
      <c r="Q779" s="1"/>
      <c r="R779" s="1"/>
      <c r="S779" s="1"/>
      <c r="T779" s="1"/>
      <c r="U779" s="1"/>
      <c r="V779" s="1"/>
    </row>
    <row r="780">
      <c r="D780" s="4"/>
      <c r="E780" s="114"/>
      <c r="F780" s="109"/>
      <c r="H780" s="1"/>
      <c r="I780" s="1"/>
      <c r="L780" s="110"/>
      <c r="M780" s="111"/>
      <c r="N780" s="112"/>
      <c r="O780" s="113"/>
      <c r="Q780" s="1"/>
      <c r="R780" s="1"/>
      <c r="S780" s="1"/>
      <c r="T780" s="1"/>
      <c r="U780" s="1"/>
      <c r="V780" s="1"/>
    </row>
    <row r="781">
      <c r="D781" s="4"/>
      <c r="E781" s="114"/>
      <c r="F781" s="109"/>
      <c r="H781" s="1"/>
      <c r="I781" s="1"/>
      <c r="L781" s="110"/>
      <c r="M781" s="111"/>
      <c r="N781" s="112"/>
      <c r="O781" s="113"/>
      <c r="Q781" s="1"/>
      <c r="R781" s="1"/>
      <c r="S781" s="1"/>
      <c r="T781" s="1"/>
      <c r="U781" s="1"/>
      <c r="V781" s="1"/>
    </row>
    <row r="782">
      <c r="D782" s="4"/>
      <c r="E782" s="114"/>
      <c r="F782" s="109"/>
      <c r="H782" s="1"/>
      <c r="I782" s="1"/>
      <c r="L782" s="110"/>
      <c r="M782" s="111"/>
      <c r="N782" s="112"/>
      <c r="O782" s="113"/>
      <c r="Q782" s="1"/>
      <c r="R782" s="1"/>
      <c r="S782" s="1"/>
      <c r="T782" s="1"/>
      <c r="U782" s="1"/>
      <c r="V782" s="1"/>
    </row>
    <row r="783">
      <c r="D783" s="4"/>
      <c r="E783" s="114"/>
      <c r="F783" s="109"/>
      <c r="H783" s="1"/>
      <c r="I783" s="1"/>
      <c r="L783" s="110"/>
      <c r="M783" s="111"/>
      <c r="N783" s="112"/>
      <c r="O783" s="113"/>
      <c r="Q783" s="1"/>
      <c r="R783" s="1"/>
      <c r="S783" s="1"/>
      <c r="T783" s="1"/>
      <c r="U783" s="1"/>
      <c r="V783" s="1"/>
    </row>
    <row r="784">
      <c r="D784" s="4"/>
      <c r="E784" s="114"/>
      <c r="F784" s="109"/>
      <c r="H784" s="1"/>
      <c r="I784" s="1"/>
      <c r="L784" s="110"/>
      <c r="M784" s="111"/>
      <c r="N784" s="112"/>
      <c r="O784" s="113"/>
      <c r="Q784" s="1"/>
      <c r="R784" s="1"/>
      <c r="S784" s="1"/>
      <c r="T784" s="1"/>
      <c r="U784" s="1"/>
      <c r="V784" s="1"/>
    </row>
    <row r="785">
      <c r="D785" s="4"/>
      <c r="E785" s="114"/>
      <c r="F785" s="109"/>
      <c r="H785" s="1"/>
      <c r="I785" s="1"/>
      <c r="L785" s="110"/>
      <c r="M785" s="111"/>
      <c r="N785" s="112"/>
      <c r="O785" s="113"/>
      <c r="Q785" s="1"/>
      <c r="R785" s="1"/>
      <c r="S785" s="1"/>
      <c r="T785" s="1"/>
      <c r="U785" s="1"/>
      <c r="V785" s="1"/>
    </row>
    <row r="786">
      <c r="D786" s="4"/>
      <c r="E786" s="114"/>
      <c r="F786" s="109"/>
      <c r="H786" s="1"/>
      <c r="I786" s="1"/>
      <c r="L786" s="110"/>
      <c r="M786" s="111"/>
      <c r="N786" s="112"/>
      <c r="O786" s="113"/>
      <c r="Q786" s="1"/>
      <c r="R786" s="1"/>
      <c r="S786" s="1"/>
      <c r="T786" s="1"/>
      <c r="U786" s="1"/>
      <c r="V786" s="1"/>
    </row>
    <row r="787">
      <c r="D787" s="4"/>
      <c r="E787" s="114"/>
      <c r="F787" s="109"/>
      <c r="H787" s="1"/>
      <c r="I787" s="1"/>
      <c r="L787" s="110"/>
      <c r="M787" s="111"/>
      <c r="N787" s="112"/>
      <c r="O787" s="113"/>
      <c r="Q787" s="1"/>
      <c r="R787" s="1"/>
      <c r="S787" s="1"/>
      <c r="T787" s="1"/>
      <c r="U787" s="1"/>
      <c r="V787" s="1"/>
    </row>
    <row r="788">
      <c r="D788" s="4"/>
      <c r="E788" s="114"/>
      <c r="F788" s="109"/>
      <c r="H788" s="1"/>
      <c r="I788" s="1"/>
      <c r="L788" s="110"/>
      <c r="M788" s="111"/>
      <c r="N788" s="112"/>
      <c r="O788" s="113"/>
      <c r="Q788" s="1"/>
      <c r="R788" s="1"/>
      <c r="S788" s="1"/>
      <c r="T788" s="1"/>
      <c r="U788" s="1"/>
      <c r="V788" s="1"/>
    </row>
    <row r="789">
      <c r="D789" s="4"/>
      <c r="E789" s="114"/>
      <c r="F789" s="109"/>
      <c r="H789" s="1"/>
      <c r="I789" s="1"/>
      <c r="L789" s="110"/>
      <c r="M789" s="111"/>
      <c r="N789" s="112"/>
      <c r="O789" s="113"/>
      <c r="Q789" s="1"/>
      <c r="R789" s="1"/>
      <c r="S789" s="1"/>
      <c r="T789" s="1"/>
      <c r="U789" s="1"/>
      <c r="V789" s="1"/>
    </row>
    <row r="790">
      <c r="D790" s="4"/>
      <c r="E790" s="114"/>
      <c r="F790" s="109"/>
      <c r="H790" s="1"/>
      <c r="I790" s="1"/>
      <c r="L790" s="110"/>
      <c r="M790" s="111"/>
      <c r="N790" s="112"/>
      <c r="O790" s="113"/>
      <c r="Q790" s="1"/>
      <c r="R790" s="1"/>
      <c r="S790" s="1"/>
      <c r="T790" s="1"/>
      <c r="U790" s="1"/>
      <c r="V790" s="1"/>
    </row>
    <row r="791">
      <c r="D791" s="4"/>
      <c r="E791" s="114"/>
      <c r="F791" s="109"/>
      <c r="H791" s="1"/>
      <c r="I791" s="1"/>
      <c r="L791" s="110"/>
      <c r="M791" s="111"/>
      <c r="N791" s="112"/>
      <c r="O791" s="113"/>
      <c r="Q791" s="1"/>
      <c r="R791" s="1"/>
      <c r="S791" s="1"/>
      <c r="T791" s="1"/>
      <c r="U791" s="1"/>
      <c r="V791" s="1"/>
    </row>
    <row r="792">
      <c r="D792" s="4"/>
      <c r="E792" s="114"/>
      <c r="F792" s="109"/>
      <c r="H792" s="1"/>
      <c r="I792" s="1"/>
      <c r="L792" s="110"/>
      <c r="M792" s="111"/>
      <c r="N792" s="112"/>
      <c r="O792" s="113"/>
      <c r="Q792" s="1"/>
      <c r="R792" s="1"/>
      <c r="S792" s="1"/>
      <c r="T792" s="1"/>
      <c r="U792" s="1"/>
      <c r="V792" s="1"/>
    </row>
    <row r="793">
      <c r="D793" s="4"/>
      <c r="E793" s="114"/>
      <c r="F793" s="109"/>
      <c r="H793" s="1"/>
      <c r="I793" s="1"/>
      <c r="L793" s="110"/>
      <c r="M793" s="111"/>
      <c r="N793" s="112"/>
      <c r="O793" s="113"/>
      <c r="Q793" s="1"/>
      <c r="R793" s="1"/>
      <c r="S793" s="1"/>
      <c r="T793" s="1"/>
      <c r="U793" s="1"/>
      <c r="V793" s="1"/>
    </row>
    <row r="794">
      <c r="D794" s="4"/>
      <c r="E794" s="114"/>
      <c r="F794" s="109"/>
      <c r="H794" s="1"/>
      <c r="I794" s="1"/>
      <c r="L794" s="110"/>
      <c r="M794" s="111"/>
      <c r="N794" s="112"/>
      <c r="O794" s="113"/>
      <c r="Q794" s="1"/>
      <c r="R794" s="1"/>
      <c r="S794" s="1"/>
      <c r="T794" s="1"/>
      <c r="U794" s="1"/>
      <c r="V794" s="1"/>
    </row>
    <row r="795">
      <c r="D795" s="4"/>
      <c r="E795" s="114"/>
      <c r="F795" s="109"/>
      <c r="H795" s="1"/>
      <c r="I795" s="1"/>
      <c r="L795" s="110"/>
      <c r="M795" s="111"/>
      <c r="N795" s="112"/>
      <c r="O795" s="113"/>
      <c r="Q795" s="1"/>
      <c r="R795" s="1"/>
      <c r="S795" s="1"/>
      <c r="T795" s="1"/>
      <c r="U795" s="1"/>
      <c r="V795" s="1"/>
    </row>
    <row r="796">
      <c r="D796" s="4"/>
      <c r="E796" s="114"/>
      <c r="F796" s="109"/>
      <c r="H796" s="1"/>
      <c r="I796" s="1"/>
      <c r="L796" s="110"/>
      <c r="M796" s="111"/>
      <c r="N796" s="112"/>
      <c r="O796" s="113"/>
      <c r="Q796" s="1"/>
      <c r="R796" s="1"/>
      <c r="S796" s="1"/>
      <c r="T796" s="1"/>
      <c r="U796" s="1"/>
      <c r="V796" s="1"/>
    </row>
    <row r="797">
      <c r="D797" s="4"/>
      <c r="E797" s="114"/>
      <c r="F797" s="109"/>
      <c r="H797" s="1"/>
      <c r="I797" s="1"/>
      <c r="L797" s="110"/>
      <c r="M797" s="111"/>
      <c r="N797" s="112"/>
      <c r="O797" s="113"/>
      <c r="Q797" s="1"/>
      <c r="R797" s="1"/>
      <c r="S797" s="1"/>
      <c r="T797" s="1"/>
      <c r="U797" s="1"/>
      <c r="V797" s="1"/>
    </row>
    <row r="798">
      <c r="D798" s="4"/>
      <c r="E798" s="114"/>
      <c r="F798" s="109"/>
      <c r="H798" s="1"/>
      <c r="I798" s="1"/>
      <c r="L798" s="110"/>
      <c r="M798" s="111"/>
      <c r="N798" s="112"/>
      <c r="O798" s="113"/>
      <c r="Q798" s="1"/>
      <c r="R798" s="1"/>
      <c r="S798" s="1"/>
      <c r="T798" s="1"/>
      <c r="U798" s="1"/>
      <c r="V798" s="1"/>
    </row>
    <row r="799">
      <c r="D799" s="4"/>
      <c r="E799" s="114"/>
      <c r="F799" s="109"/>
      <c r="H799" s="1"/>
      <c r="I799" s="1"/>
      <c r="L799" s="110"/>
      <c r="M799" s="111"/>
      <c r="N799" s="112"/>
      <c r="O799" s="113"/>
      <c r="Q799" s="1"/>
      <c r="R799" s="1"/>
      <c r="S799" s="1"/>
      <c r="T799" s="1"/>
      <c r="U799" s="1"/>
      <c r="V799" s="1"/>
    </row>
    <row r="800">
      <c r="D800" s="4"/>
      <c r="E800" s="114"/>
      <c r="F800" s="109"/>
      <c r="H800" s="1"/>
      <c r="I800" s="1"/>
      <c r="L800" s="110"/>
      <c r="M800" s="111"/>
      <c r="N800" s="112"/>
      <c r="O800" s="113"/>
      <c r="Q800" s="1"/>
      <c r="R800" s="1"/>
      <c r="S800" s="1"/>
      <c r="T800" s="1"/>
      <c r="U800" s="1"/>
      <c r="V800" s="1"/>
    </row>
    <row r="801">
      <c r="D801" s="4"/>
      <c r="E801" s="114"/>
      <c r="F801" s="109"/>
      <c r="H801" s="1"/>
      <c r="I801" s="1"/>
      <c r="L801" s="110"/>
      <c r="M801" s="111"/>
      <c r="N801" s="112"/>
      <c r="O801" s="113"/>
      <c r="Q801" s="1"/>
      <c r="R801" s="1"/>
      <c r="S801" s="1"/>
      <c r="T801" s="1"/>
      <c r="U801" s="1"/>
      <c r="V801" s="1"/>
    </row>
    <row r="802">
      <c r="D802" s="4"/>
      <c r="E802" s="114"/>
      <c r="F802" s="109"/>
      <c r="H802" s="1"/>
      <c r="I802" s="1"/>
      <c r="L802" s="110"/>
      <c r="M802" s="111"/>
      <c r="N802" s="112"/>
      <c r="O802" s="113"/>
      <c r="Q802" s="1"/>
      <c r="R802" s="1"/>
      <c r="S802" s="1"/>
      <c r="T802" s="1"/>
      <c r="U802" s="1"/>
      <c r="V802" s="1"/>
    </row>
    <row r="803">
      <c r="D803" s="4"/>
      <c r="E803" s="114"/>
      <c r="F803" s="109"/>
      <c r="H803" s="1"/>
      <c r="I803" s="1"/>
      <c r="L803" s="110"/>
      <c r="M803" s="111"/>
      <c r="N803" s="112"/>
      <c r="O803" s="113"/>
      <c r="Q803" s="1"/>
      <c r="R803" s="1"/>
      <c r="S803" s="1"/>
      <c r="T803" s="1"/>
      <c r="U803" s="1"/>
      <c r="V803" s="1"/>
    </row>
    <row r="804">
      <c r="D804" s="4"/>
      <c r="E804" s="114"/>
      <c r="F804" s="109"/>
      <c r="H804" s="1"/>
      <c r="I804" s="1"/>
      <c r="L804" s="110"/>
      <c r="M804" s="111"/>
      <c r="N804" s="112"/>
      <c r="O804" s="113"/>
      <c r="Q804" s="1"/>
      <c r="R804" s="1"/>
      <c r="S804" s="1"/>
      <c r="T804" s="1"/>
      <c r="U804" s="1"/>
      <c r="V804" s="1"/>
    </row>
    <row r="805">
      <c r="D805" s="4"/>
      <c r="E805" s="114"/>
      <c r="F805" s="109"/>
      <c r="H805" s="1"/>
      <c r="I805" s="1"/>
      <c r="L805" s="110"/>
      <c r="M805" s="111"/>
      <c r="N805" s="112"/>
      <c r="O805" s="113"/>
      <c r="Q805" s="1"/>
      <c r="R805" s="1"/>
      <c r="S805" s="1"/>
      <c r="T805" s="1"/>
      <c r="U805" s="1"/>
      <c r="V805" s="1"/>
    </row>
    <row r="806">
      <c r="D806" s="4"/>
      <c r="E806" s="114"/>
      <c r="F806" s="109"/>
      <c r="H806" s="1"/>
      <c r="I806" s="1"/>
      <c r="L806" s="110"/>
      <c r="M806" s="111"/>
      <c r="N806" s="112"/>
      <c r="O806" s="113"/>
      <c r="Q806" s="1"/>
      <c r="R806" s="1"/>
      <c r="S806" s="1"/>
      <c r="T806" s="1"/>
      <c r="U806" s="1"/>
      <c r="V806" s="1"/>
    </row>
    <row r="807">
      <c r="D807" s="4"/>
      <c r="E807" s="114"/>
      <c r="F807" s="109"/>
      <c r="H807" s="1"/>
      <c r="I807" s="1"/>
      <c r="L807" s="110"/>
      <c r="M807" s="111"/>
      <c r="N807" s="112"/>
      <c r="O807" s="113"/>
      <c r="Q807" s="1"/>
      <c r="R807" s="1"/>
      <c r="S807" s="1"/>
      <c r="T807" s="1"/>
      <c r="U807" s="1"/>
      <c r="V807" s="1"/>
    </row>
    <row r="808">
      <c r="D808" s="4"/>
      <c r="E808" s="114"/>
      <c r="F808" s="109"/>
      <c r="H808" s="1"/>
      <c r="I808" s="1"/>
      <c r="L808" s="110"/>
      <c r="M808" s="111"/>
      <c r="N808" s="112"/>
      <c r="O808" s="113"/>
      <c r="Q808" s="1"/>
      <c r="R808" s="1"/>
      <c r="S808" s="1"/>
      <c r="T808" s="1"/>
      <c r="U808" s="1"/>
      <c r="V808" s="1"/>
    </row>
    <row r="809">
      <c r="D809" s="4"/>
      <c r="E809" s="114"/>
      <c r="F809" s="109"/>
      <c r="H809" s="1"/>
      <c r="I809" s="1"/>
      <c r="L809" s="110"/>
      <c r="M809" s="111"/>
      <c r="N809" s="112"/>
      <c r="O809" s="113"/>
      <c r="Q809" s="1"/>
      <c r="R809" s="1"/>
      <c r="S809" s="1"/>
      <c r="T809" s="1"/>
      <c r="U809" s="1"/>
      <c r="V809" s="1"/>
    </row>
    <row r="810">
      <c r="D810" s="4"/>
      <c r="E810" s="114"/>
      <c r="F810" s="109"/>
      <c r="H810" s="1"/>
      <c r="I810" s="1"/>
      <c r="L810" s="110"/>
      <c r="M810" s="111"/>
      <c r="N810" s="112"/>
      <c r="O810" s="113"/>
      <c r="Q810" s="1"/>
      <c r="R810" s="1"/>
      <c r="S810" s="1"/>
      <c r="T810" s="1"/>
      <c r="U810" s="1"/>
      <c r="V810" s="1"/>
    </row>
    <row r="811">
      <c r="D811" s="4"/>
      <c r="E811" s="114"/>
      <c r="F811" s="109"/>
      <c r="H811" s="1"/>
      <c r="I811" s="1"/>
      <c r="L811" s="110"/>
      <c r="M811" s="111"/>
      <c r="N811" s="112"/>
      <c r="O811" s="113"/>
      <c r="Q811" s="1"/>
      <c r="R811" s="1"/>
      <c r="S811" s="1"/>
      <c r="T811" s="1"/>
      <c r="U811" s="1"/>
      <c r="V811" s="1"/>
    </row>
    <row r="812">
      <c r="D812" s="4"/>
      <c r="E812" s="114"/>
      <c r="F812" s="109"/>
      <c r="H812" s="1"/>
      <c r="I812" s="1"/>
      <c r="L812" s="110"/>
      <c r="M812" s="111"/>
      <c r="N812" s="112"/>
      <c r="O812" s="113"/>
      <c r="Q812" s="1"/>
      <c r="R812" s="1"/>
      <c r="S812" s="1"/>
      <c r="T812" s="1"/>
      <c r="U812" s="1"/>
      <c r="V812" s="1"/>
    </row>
    <row r="813">
      <c r="D813" s="4"/>
      <c r="E813" s="114"/>
      <c r="F813" s="109"/>
      <c r="H813" s="1"/>
      <c r="I813" s="1"/>
      <c r="L813" s="110"/>
      <c r="M813" s="111"/>
      <c r="N813" s="112"/>
      <c r="O813" s="113"/>
      <c r="Q813" s="1"/>
      <c r="R813" s="1"/>
      <c r="S813" s="1"/>
      <c r="T813" s="1"/>
      <c r="U813" s="1"/>
      <c r="V813" s="1"/>
    </row>
    <row r="814">
      <c r="D814" s="4"/>
      <c r="E814" s="114"/>
      <c r="F814" s="109"/>
      <c r="H814" s="1"/>
      <c r="I814" s="1"/>
      <c r="L814" s="110"/>
      <c r="M814" s="111"/>
      <c r="N814" s="112"/>
      <c r="O814" s="113"/>
      <c r="Q814" s="1"/>
      <c r="R814" s="1"/>
      <c r="S814" s="1"/>
      <c r="T814" s="1"/>
      <c r="U814" s="1"/>
      <c r="V814" s="1"/>
    </row>
    <row r="815">
      <c r="D815" s="4"/>
      <c r="E815" s="114"/>
      <c r="F815" s="109"/>
      <c r="H815" s="1"/>
      <c r="I815" s="1"/>
      <c r="L815" s="110"/>
      <c r="M815" s="111"/>
      <c r="N815" s="112"/>
      <c r="O815" s="113"/>
      <c r="Q815" s="1"/>
      <c r="R815" s="1"/>
      <c r="S815" s="1"/>
      <c r="T815" s="1"/>
      <c r="U815" s="1"/>
      <c r="V815" s="1"/>
    </row>
    <row r="816">
      <c r="D816" s="4"/>
      <c r="E816" s="114"/>
      <c r="F816" s="109"/>
      <c r="H816" s="1"/>
      <c r="I816" s="1"/>
      <c r="L816" s="110"/>
      <c r="M816" s="111"/>
      <c r="N816" s="112"/>
      <c r="O816" s="113"/>
      <c r="Q816" s="1"/>
      <c r="R816" s="1"/>
      <c r="S816" s="1"/>
      <c r="T816" s="1"/>
      <c r="U816" s="1"/>
      <c r="V816" s="1"/>
    </row>
    <row r="817">
      <c r="D817" s="4"/>
      <c r="E817" s="114"/>
      <c r="F817" s="109"/>
      <c r="H817" s="1"/>
      <c r="I817" s="1"/>
      <c r="L817" s="110"/>
      <c r="M817" s="111"/>
      <c r="N817" s="112"/>
      <c r="O817" s="113"/>
      <c r="Q817" s="1"/>
      <c r="R817" s="1"/>
      <c r="S817" s="1"/>
      <c r="T817" s="1"/>
      <c r="U817" s="1"/>
      <c r="V817" s="1"/>
    </row>
    <row r="818">
      <c r="D818" s="4"/>
      <c r="E818" s="114"/>
      <c r="F818" s="109"/>
      <c r="H818" s="1"/>
      <c r="I818" s="1"/>
      <c r="L818" s="110"/>
      <c r="M818" s="111"/>
      <c r="N818" s="112"/>
      <c r="O818" s="113"/>
      <c r="Q818" s="1"/>
      <c r="R818" s="1"/>
      <c r="S818" s="1"/>
      <c r="T818" s="1"/>
      <c r="U818" s="1"/>
      <c r="V818" s="1"/>
    </row>
    <row r="819">
      <c r="D819" s="4"/>
      <c r="E819" s="114"/>
      <c r="F819" s="109"/>
      <c r="H819" s="1"/>
      <c r="I819" s="1"/>
      <c r="L819" s="110"/>
      <c r="M819" s="111"/>
      <c r="N819" s="112"/>
      <c r="O819" s="113"/>
      <c r="Q819" s="1"/>
      <c r="R819" s="1"/>
      <c r="S819" s="1"/>
      <c r="T819" s="1"/>
      <c r="U819" s="1"/>
      <c r="V819" s="1"/>
    </row>
    <row r="820">
      <c r="D820" s="4"/>
      <c r="E820" s="114"/>
      <c r="F820" s="109"/>
      <c r="H820" s="1"/>
      <c r="I820" s="1"/>
      <c r="L820" s="110"/>
      <c r="M820" s="111"/>
      <c r="N820" s="112"/>
      <c r="O820" s="113"/>
      <c r="Q820" s="1"/>
      <c r="R820" s="1"/>
      <c r="S820" s="1"/>
      <c r="T820" s="1"/>
      <c r="U820" s="1"/>
      <c r="V820" s="1"/>
    </row>
    <row r="821">
      <c r="D821" s="4"/>
      <c r="E821" s="114"/>
      <c r="F821" s="109"/>
      <c r="H821" s="1"/>
      <c r="I821" s="1"/>
      <c r="L821" s="110"/>
      <c r="M821" s="111"/>
      <c r="N821" s="112"/>
      <c r="O821" s="113"/>
      <c r="Q821" s="1"/>
      <c r="R821" s="1"/>
      <c r="S821" s="1"/>
      <c r="T821" s="1"/>
      <c r="U821" s="1"/>
      <c r="V821" s="1"/>
    </row>
    <row r="822">
      <c r="D822" s="4"/>
      <c r="E822" s="114"/>
      <c r="F822" s="109"/>
      <c r="H822" s="1"/>
      <c r="I822" s="1"/>
      <c r="L822" s="110"/>
      <c r="M822" s="111"/>
      <c r="N822" s="112"/>
      <c r="O822" s="113"/>
      <c r="Q822" s="1"/>
      <c r="R822" s="1"/>
      <c r="S822" s="1"/>
      <c r="T822" s="1"/>
      <c r="U822" s="1"/>
      <c r="V822" s="1"/>
    </row>
    <row r="823">
      <c r="D823" s="4"/>
      <c r="E823" s="114"/>
      <c r="F823" s="109"/>
      <c r="H823" s="1"/>
      <c r="I823" s="1"/>
      <c r="L823" s="110"/>
      <c r="M823" s="111"/>
      <c r="N823" s="112"/>
      <c r="O823" s="113"/>
      <c r="Q823" s="1"/>
      <c r="R823" s="1"/>
      <c r="S823" s="1"/>
      <c r="T823" s="1"/>
      <c r="U823" s="1"/>
      <c r="V823" s="1"/>
    </row>
    <row r="824">
      <c r="D824" s="4"/>
      <c r="E824" s="114"/>
      <c r="F824" s="109"/>
      <c r="H824" s="1"/>
      <c r="I824" s="1"/>
      <c r="L824" s="110"/>
      <c r="M824" s="111"/>
      <c r="N824" s="112"/>
      <c r="O824" s="113"/>
      <c r="Q824" s="1"/>
      <c r="R824" s="1"/>
      <c r="S824" s="1"/>
      <c r="T824" s="1"/>
      <c r="U824" s="1"/>
      <c r="V824" s="1"/>
    </row>
    <row r="825">
      <c r="D825" s="4"/>
      <c r="E825" s="114"/>
      <c r="F825" s="109"/>
      <c r="H825" s="1"/>
      <c r="I825" s="1"/>
      <c r="L825" s="110"/>
      <c r="M825" s="111"/>
      <c r="N825" s="112"/>
      <c r="O825" s="113"/>
      <c r="Q825" s="1"/>
      <c r="R825" s="1"/>
      <c r="S825" s="1"/>
      <c r="T825" s="1"/>
      <c r="U825" s="1"/>
      <c r="V825" s="1"/>
    </row>
    <row r="826">
      <c r="D826" s="4"/>
      <c r="E826" s="114"/>
      <c r="F826" s="109"/>
      <c r="H826" s="1"/>
      <c r="I826" s="1"/>
      <c r="L826" s="110"/>
      <c r="M826" s="111"/>
      <c r="N826" s="112"/>
      <c r="O826" s="113"/>
      <c r="Q826" s="1"/>
      <c r="R826" s="1"/>
      <c r="S826" s="1"/>
      <c r="T826" s="1"/>
      <c r="U826" s="1"/>
      <c r="V826" s="1"/>
    </row>
    <row r="827">
      <c r="D827" s="4"/>
      <c r="E827" s="114"/>
      <c r="F827" s="109"/>
      <c r="H827" s="1"/>
      <c r="I827" s="1"/>
      <c r="L827" s="110"/>
      <c r="M827" s="111"/>
      <c r="N827" s="112"/>
      <c r="O827" s="113"/>
      <c r="Q827" s="1"/>
      <c r="R827" s="1"/>
      <c r="S827" s="1"/>
      <c r="T827" s="1"/>
      <c r="U827" s="1"/>
      <c r="V827" s="1"/>
    </row>
    <row r="828">
      <c r="D828" s="4"/>
      <c r="E828" s="114"/>
      <c r="F828" s="109"/>
      <c r="H828" s="1"/>
      <c r="I828" s="1"/>
      <c r="L828" s="110"/>
      <c r="M828" s="111"/>
      <c r="N828" s="112"/>
      <c r="O828" s="113"/>
      <c r="Q828" s="1"/>
      <c r="R828" s="1"/>
      <c r="S828" s="1"/>
      <c r="T828" s="1"/>
      <c r="U828" s="1"/>
      <c r="V828" s="1"/>
    </row>
    <row r="829">
      <c r="D829" s="4"/>
      <c r="E829" s="114"/>
      <c r="F829" s="109"/>
      <c r="H829" s="1"/>
      <c r="I829" s="1"/>
      <c r="L829" s="110"/>
      <c r="M829" s="111"/>
      <c r="N829" s="112"/>
      <c r="O829" s="113"/>
      <c r="Q829" s="1"/>
      <c r="R829" s="1"/>
      <c r="S829" s="1"/>
      <c r="T829" s="1"/>
      <c r="U829" s="1"/>
      <c r="V829" s="1"/>
    </row>
    <row r="830">
      <c r="D830" s="4"/>
      <c r="E830" s="114"/>
      <c r="F830" s="109"/>
      <c r="H830" s="1"/>
      <c r="I830" s="1"/>
      <c r="L830" s="110"/>
      <c r="M830" s="111"/>
      <c r="N830" s="112"/>
      <c r="O830" s="113"/>
      <c r="Q830" s="1"/>
      <c r="R830" s="1"/>
      <c r="S830" s="1"/>
      <c r="T830" s="1"/>
      <c r="U830" s="1"/>
      <c r="V830" s="1"/>
    </row>
    <row r="831">
      <c r="D831" s="4"/>
      <c r="E831" s="114"/>
      <c r="F831" s="109"/>
      <c r="H831" s="1"/>
      <c r="I831" s="1"/>
      <c r="L831" s="110"/>
      <c r="M831" s="111"/>
      <c r="N831" s="112"/>
      <c r="O831" s="113"/>
      <c r="Q831" s="1"/>
      <c r="R831" s="1"/>
      <c r="S831" s="1"/>
      <c r="T831" s="1"/>
      <c r="U831" s="1"/>
      <c r="V831" s="1"/>
    </row>
    <row r="832">
      <c r="D832" s="4"/>
      <c r="E832" s="114"/>
      <c r="F832" s="109"/>
      <c r="H832" s="1"/>
      <c r="I832" s="1"/>
      <c r="L832" s="110"/>
      <c r="M832" s="111"/>
      <c r="N832" s="112"/>
      <c r="O832" s="113"/>
      <c r="Q832" s="1"/>
      <c r="R832" s="1"/>
      <c r="S832" s="1"/>
      <c r="T832" s="1"/>
      <c r="U832" s="1"/>
      <c r="V832" s="1"/>
    </row>
    <row r="833">
      <c r="D833" s="4"/>
      <c r="E833" s="114"/>
      <c r="F833" s="109"/>
      <c r="H833" s="1"/>
      <c r="I833" s="1"/>
      <c r="L833" s="110"/>
      <c r="M833" s="111"/>
      <c r="N833" s="112"/>
      <c r="O833" s="113"/>
      <c r="Q833" s="1"/>
      <c r="R833" s="1"/>
      <c r="S833" s="1"/>
      <c r="T833" s="1"/>
      <c r="U833" s="1"/>
      <c r="V833" s="1"/>
    </row>
    <row r="834">
      <c r="D834" s="4"/>
      <c r="E834" s="114"/>
      <c r="F834" s="109"/>
      <c r="H834" s="1"/>
      <c r="I834" s="1"/>
      <c r="L834" s="110"/>
      <c r="M834" s="111"/>
      <c r="N834" s="112"/>
      <c r="O834" s="113"/>
      <c r="Q834" s="1"/>
      <c r="R834" s="1"/>
      <c r="S834" s="1"/>
      <c r="T834" s="1"/>
      <c r="U834" s="1"/>
      <c r="V834" s="1"/>
    </row>
    <row r="835">
      <c r="D835" s="4"/>
      <c r="E835" s="114"/>
      <c r="F835" s="109"/>
      <c r="H835" s="1"/>
      <c r="I835" s="1"/>
      <c r="L835" s="110"/>
      <c r="M835" s="111"/>
      <c r="N835" s="112"/>
      <c r="O835" s="113"/>
      <c r="Q835" s="1"/>
      <c r="R835" s="1"/>
      <c r="S835" s="1"/>
      <c r="T835" s="1"/>
      <c r="U835" s="1"/>
      <c r="V835" s="1"/>
    </row>
    <row r="836">
      <c r="D836" s="4"/>
      <c r="E836" s="114"/>
      <c r="F836" s="109"/>
      <c r="H836" s="1"/>
      <c r="I836" s="1"/>
      <c r="L836" s="110"/>
      <c r="M836" s="111"/>
      <c r="N836" s="112"/>
      <c r="O836" s="113"/>
      <c r="Q836" s="1"/>
      <c r="R836" s="1"/>
      <c r="S836" s="1"/>
      <c r="T836" s="1"/>
      <c r="U836" s="1"/>
      <c r="V836" s="1"/>
    </row>
    <row r="837">
      <c r="D837" s="4"/>
      <c r="E837" s="114"/>
      <c r="F837" s="109"/>
      <c r="H837" s="1"/>
      <c r="I837" s="1"/>
      <c r="L837" s="110"/>
      <c r="M837" s="111"/>
      <c r="N837" s="112"/>
      <c r="O837" s="113"/>
      <c r="Q837" s="1"/>
      <c r="R837" s="1"/>
      <c r="S837" s="1"/>
      <c r="T837" s="1"/>
      <c r="U837" s="1"/>
      <c r="V837" s="1"/>
    </row>
    <row r="838">
      <c r="D838" s="4"/>
      <c r="E838" s="114"/>
      <c r="F838" s="109"/>
      <c r="H838" s="1"/>
      <c r="I838" s="1"/>
      <c r="L838" s="110"/>
      <c r="M838" s="111"/>
      <c r="N838" s="112"/>
      <c r="O838" s="113"/>
      <c r="Q838" s="1"/>
      <c r="R838" s="1"/>
      <c r="S838" s="1"/>
      <c r="T838" s="1"/>
      <c r="U838" s="1"/>
      <c r="V838" s="1"/>
    </row>
    <row r="839">
      <c r="D839" s="4"/>
      <c r="E839" s="114"/>
      <c r="F839" s="109"/>
      <c r="H839" s="1"/>
      <c r="I839" s="1"/>
      <c r="L839" s="110"/>
      <c r="M839" s="111"/>
      <c r="N839" s="112"/>
      <c r="O839" s="113"/>
      <c r="Q839" s="1"/>
      <c r="R839" s="1"/>
      <c r="S839" s="1"/>
      <c r="T839" s="1"/>
      <c r="U839" s="1"/>
      <c r="V839" s="1"/>
    </row>
    <row r="840">
      <c r="D840" s="4"/>
      <c r="E840" s="114"/>
      <c r="F840" s="109"/>
      <c r="H840" s="1"/>
      <c r="I840" s="1"/>
      <c r="L840" s="110"/>
      <c r="M840" s="111"/>
      <c r="N840" s="112"/>
      <c r="O840" s="113"/>
      <c r="Q840" s="1"/>
      <c r="R840" s="1"/>
      <c r="S840" s="1"/>
      <c r="T840" s="1"/>
      <c r="U840" s="1"/>
      <c r="V840" s="1"/>
    </row>
    <row r="841">
      <c r="D841" s="4"/>
      <c r="E841" s="114"/>
      <c r="F841" s="109"/>
      <c r="H841" s="1"/>
      <c r="I841" s="1"/>
      <c r="L841" s="110"/>
      <c r="M841" s="111"/>
      <c r="N841" s="112"/>
      <c r="O841" s="113"/>
      <c r="Q841" s="1"/>
      <c r="R841" s="1"/>
      <c r="S841" s="1"/>
      <c r="T841" s="1"/>
      <c r="U841" s="1"/>
      <c r="V841" s="1"/>
    </row>
    <row r="842">
      <c r="D842" s="4"/>
      <c r="E842" s="114"/>
      <c r="F842" s="109"/>
      <c r="H842" s="1"/>
      <c r="I842" s="1"/>
      <c r="L842" s="110"/>
      <c r="M842" s="111"/>
      <c r="N842" s="112"/>
      <c r="O842" s="113"/>
      <c r="Q842" s="1"/>
      <c r="R842" s="1"/>
      <c r="S842" s="1"/>
      <c r="T842" s="1"/>
      <c r="U842" s="1"/>
      <c r="V842" s="1"/>
    </row>
    <row r="843">
      <c r="D843" s="4"/>
      <c r="E843" s="114"/>
      <c r="F843" s="109"/>
      <c r="H843" s="1"/>
      <c r="I843" s="1"/>
      <c r="L843" s="110"/>
      <c r="M843" s="111"/>
      <c r="N843" s="112"/>
      <c r="O843" s="113"/>
      <c r="Q843" s="1"/>
      <c r="R843" s="1"/>
      <c r="S843" s="1"/>
      <c r="T843" s="1"/>
      <c r="U843" s="1"/>
      <c r="V843" s="1"/>
    </row>
    <row r="844">
      <c r="D844" s="4"/>
      <c r="E844" s="114"/>
      <c r="F844" s="109"/>
      <c r="H844" s="1"/>
      <c r="I844" s="1"/>
      <c r="L844" s="110"/>
      <c r="M844" s="111"/>
      <c r="N844" s="112"/>
      <c r="O844" s="113"/>
      <c r="Q844" s="1"/>
      <c r="R844" s="1"/>
      <c r="S844" s="1"/>
      <c r="T844" s="1"/>
      <c r="U844" s="1"/>
      <c r="V844" s="1"/>
    </row>
    <row r="845">
      <c r="D845" s="4"/>
      <c r="E845" s="114"/>
      <c r="F845" s="109"/>
      <c r="H845" s="1"/>
      <c r="I845" s="1"/>
      <c r="L845" s="110"/>
      <c r="M845" s="111"/>
      <c r="N845" s="112"/>
      <c r="O845" s="113"/>
      <c r="Q845" s="1"/>
      <c r="R845" s="1"/>
      <c r="S845" s="1"/>
      <c r="T845" s="1"/>
      <c r="U845" s="1"/>
      <c r="V845" s="1"/>
    </row>
    <row r="846">
      <c r="D846" s="4"/>
      <c r="E846" s="114"/>
      <c r="F846" s="109"/>
      <c r="H846" s="1"/>
      <c r="I846" s="1"/>
      <c r="L846" s="110"/>
      <c r="M846" s="111"/>
      <c r="N846" s="112"/>
      <c r="O846" s="113"/>
      <c r="Q846" s="1"/>
      <c r="R846" s="1"/>
      <c r="S846" s="1"/>
      <c r="T846" s="1"/>
      <c r="U846" s="1"/>
      <c r="V846" s="1"/>
    </row>
    <row r="847">
      <c r="D847" s="4"/>
      <c r="E847" s="114"/>
      <c r="F847" s="109"/>
      <c r="H847" s="1"/>
      <c r="I847" s="1"/>
      <c r="L847" s="110"/>
      <c r="M847" s="111"/>
      <c r="N847" s="112"/>
      <c r="O847" s="113"/>
      <c r="Q847" s="1"/>
      <c r="R847" s="1"/>
      <c r="S847" s="1"/>
      <c r="T847" s="1"/>
      <c r="U847" s="1"/>
      <c r="V847" s="1"/>
    </row>
    <row r="848">
      <c r="D848" s="4"/>
      <c r="E848" s="114"/>
      <c r="F848" s="109"/>
      <c r="H848" s="1"/>
      <c r="I848" s="1"/>
      <c r="L848" s="110"/>
      <c r="M848" s="111"/>
      <c r="N848" s="112"/>
      <c r="O848" s="113"/>
      <c r="Q848" s="1"/>
      <c r="R848" s="1"/>
      <c r="S848" s="1"/>
      <c r="T848" s="1"/>
      <c r="U848" s="1"/>
      <c r="V848" s="1"/>
    </row>
    <row r="849">
      <c r="D849" s="4"/>
      <c r="E849" s="114"/>
      <c r="F849" s="109"/>
      <c r="H849" s="1"/>
      <c r="I849" s="1"/>
      <c r="L849" s="110"/>
      <c r="M849" s="111"/>
      <c r="N849" s="112"/>
      <c r="O849" s="113"/>
      <c r="Q849" s="1"/>
      <c r="R849" s="1"/>
      <c r="S849" s="1"/>
      <c r="T849" s="1"/>
      <c r="U849" s="1"/>
      <c r="V849" s="1"/>
    </row>
    <row r="850">
      <c r="D850" s="4"/>
      <c r="E850" s="114"/>
      <c r="F850" s="109"/>
      <c r="H850" s="1"/>
      <c r="I850" s="1"/>
      <c r="L850" s="110"/>
      <c r="M850" s="111"/>
      <c r="N850" s="112"/>
      <c r="O850" s="113"/>
      <c r="Q850" s="1"/>
      <c r="R850" s="1"/>
      <c r="S850" s="1"/>
      <c r="T850" s="1"/>
      <c r="U850" s="1"/>
      <c r="V850" s="1"/>
    </row>
    <row r="851">
      <c r="D851" s="4"/>
      <c r="E851" s="114"/>
      <c r="F851" s="109"/>
      <c r="H851" s="1"/>
      <c r="I851" s="1"/>
      <c r="L851" s="110"/>
      <c r="M851" s="111"/>
      <c r="N851" s="112"/>
      <c r="O851" s="113"/>
      <c r="Q851" s="1"/>
      <c r="R851" s="1"/>
      <c r="S851" s="1"/>
      <c r="T851" s="1"/>
      <c r="U851" s="1"/>
      <c r="V851" s="1"/>
    </row>
    <row r="852">
      <c r="D852" s="4"/>
      <c r="E852" s="114"/>
      <c r="F852" s="109"/>
      <c r="H852" s="1"/>
      <c r="I852" s="1"/>
      <c r="L852" s="110"/>
      <c r="M852" s="111"/>
      <c r="N852" s="112"/>
      <c r="O852" s="113"/>
      <c r="Q852" s="1"/>
      <c r="R852" s="1"/>
      <c r="S852" s="1"/>
      <c r="T852" s="1"/>
      <c r="U852" s="1"/>
      <c r="V852" s="1"/>
    </row>
    <row r="853">
      <c r="D853" s="4"/>
      <c r="E853" s="114"/>
      <c r="F853" s="109"/>
      <c r="H853" s="1"/>
      <c r="I853" s="1"/>
      <c r="L853" s="110"/>
      <c r="M853" s="111"/>
      <c r="N853" s="112"/>
      <c r="O853" s="113"/>
      <c r="Q853" s="1"/>
      <c r="R853" s="1"/>
      <c r="S853" s="1"/>
      <c r="T853" s="1"/>
      <c r="U853" s="1"/>
      <c r="V853" s="1"/>
    </row>
    <row r="854">
      <c r="D854" s="4"/>
      <c r="E854" s="114"/>
      <c r="F854" s="109"/>
      <c r="H854" s="1"/>
      <c r="I854" s="1"/>
      <c r="L854" s="110"/>
      <c r="M854" s="111"/>
      <c r="N854" s="112"/>
      <c r="O854" s="113"/>
      <c r="Q854" s="1"/>
      <c r="R854" s="1"/>
      <c r="S854" s="1"/>
      <c r="T854" s="1"/>
      <c r="U854" s="1"/>
      <c r="V854" s="1"/>
    </row>
    <row r="855">
      <c r="D855" s="4"/>
      <c r="E855" s="114"/>
      <c r="F855" s="109"/>
      <c r="H855" s="1"/>
      <c r="I855" s="1"/>
      <c r="L855" s="110"/>
      <c r="M855" s="111"/>
      <c r="N855" s="112"/>
      <c r="O855" s="113"/>
      <c r="Q855" s="1"/>
      <c r="R855" s="1"/>
      <c r="S855" s="1"/>
      <c r="T855" s="1"/>
      <c r="U855" s="1"/>
      <c r="V855" s="1"/>
    </row>
    <row r="856">
      <c r="D856" s="4"/>
      <c r="E856" s="114"/>
      <c r="F856" s="109"/>
      <c r="H856" s="1"/>
      <c r="I856" s="1"/>
      <c r="L856" s="110"/>
      <c r="M856" s="111"/>
      <c r="N856" s="112"/>
      <c r="O856" s="113"/>
      <c r="Q856" s="1"/>
      <c r="R856" s="1"/>
      <c r="S856" s="1"/>
      <c r="T856" s="1"/>
      <c r="U856" s="1"/>
      <c r="V856" s="1"/>
    </row>
    <row r="857">
      <c r="D857" s="4"/>
      <c r="E857" s="114"/>
      <c r="F857" s="109"/>
      <c r="H857" s="1"/>
      <c r="I857" s="1"/>
      <c r="L857" s="110"/>
      <c r="M857" s="111"/>
      <c r="N857" s="112"/>
      <c r="O857" s="113"/>
      <c r="Q857" s="1"/>
      <c r="R857" s="1"/>
      <c r="S857" s="1"/>
      <c r="T857" s="1"/>
      <c r="U857" s="1"/>
      <c r="V857" s="1"/>
    </row>
    <row r="858">
      <c r="D858" s="4"/>
      <c r="E858" s="114"/>
      <c r="F858" s="109"/>
      <c r="H858" s="1"/>
      <c r="I858" s="1"/>
      <c r="L858" s="110"/>
      <c r="M858" s="111"/>
      <c r="N858" s="112"/>
      <c r="O858" s="113"/>
      <c r="Q858" s="1"/>
      <c r="R858" s="1"/>
      <c r="S858" s="1"/>
      <c r="T858" s="1"/>
      <c r="U858" s="1"/>
      <c r="V858" s="1"/>
    </row>
    <row r="859">
      <c r="D859" s="4"/>
      <c r="E859" s="114"/>
      <c r="F859" s="109"/>
      <c r="H859" s="1"/>
      <c r="I859" s="1"/>
      <c r="L859" s="110"/>
      <c r="M859" s="111"/>
      <c r="N859" s="112"/>
      <c r="O859" s="113"/>
      <c r="Q859" s="1"/>
      <c r="R859" s="1"/>
      <c r="S859" s="1"/>
      <c r="T859" s="1"/>
      <c r="U859" s="1"/>
      <c r="V859" s="1"/>
    </row>
    <row r="860">
      <c r="D860" s="4"/>
      <c r="E860" s="114"/>
      <c r="F860" s="109"/>
      <c r="H860" s="1"/>
      <c r="I860" s="1"/>
      <c r="L860" s="110"/>
      <c r="M860" s="111"/>
      <c r="N860" s="112"/>
      <c r="O860" s="113"/>
      <c r="Q860" s="1"/>
      <c r="R860" s="1"/>
      <c r="S860" s="1"/>
      <c r="T860" s="1"/>
      <c r="U860" s="1"/>
      <c r="V860" s="1"/>
    </row>
    <row r="861">
      <c r="D861" s="4"/>
      <c r="E861" s="114"/>
      <c r="F861" s="109"/>
      <c r="H861" s="1"/>
      <c r="I861" s="1"/>
      <c r="L861" s="110"/>
      <c r="M861" s="111"/>
      <c r="N861" s="112"/>
      <c r="O861" s="113"/>
      <c r="Q861" s="1"/>
      <c r="R861" s="1"/>
      <c r="S861" s="1"/>
      <c r="T861" s="1"/>
      <c r="U861" s="1"/>
      <c r="V861" s="1"/>
    </row>
    <row r="862">
      <c r="D862" s="4"/>
      <c r="E862" s="114"/>
      <c r="F862" s="109"/>
      <c r="H862" s="1"/>
      <c r="I862" s="1"/>
      <c r="L862" s="110"/>
      <c r="M862" s="111"/>
      <c r="N862" s="112"/>
      <c r="O862" s="113"/>
      <c r="Q862" s="1"/>
      <c r="R862" s="1"/>
      <c r="S862" s="1"/>
      <c r="T862" s="1"/>
      <c r="U862" s="1"/>
      <c r="V862" s="1"/>
    </row>
    <row r="863">
      <c r="D863" s="4"/>
      <c r="E863" s="114"/>
      <c r="F863" s="109"/>
      <c r="H863" s="1"/>
      <c r="I863" s="1"/>
      <c r="L863" s="110"/>
      <c r="M863" s="111"/>
      <c r="N863" s="112"/>
      <c r="O863" s="113"/>
      <c r="Q863" s="1"/>
      <c r="R863" s="1"/>
      <c r="S863" s="1"/>
      <c r="T863" s="1"/>
      <c r="U863" s="1"/>
      <c r="V863" s="1"/>
    </row>
    <row r="864">
      <c r="D864" s="4"/>
      <c r="E864" s="114"/>
      <c r="F864" s="109"/>
      <c r="H864" s="1"/>
      <c r="I864" s="1"/>
      <c r="L864" s="110"/>
      <c r="M864" s="111"/>
      <c r="N864" s="112"/>
      <c r="O864" s="113"/>
      <c r="Q864" s="1"/>
      <c r="R864" s="1"/>
      <c r="S864" s="1"/>
      <c r="T864" s="1"/>
      <c r="U864" s="1"/>
      <c r="V864" s="1"/>
    </row>
    <row r="865">
      <c r="D865" s="4"/>
      <c r="E865" s="114"/>
      <c r="F865" s="109"/>
      <c r="H865" s="1"/>
      <c r="I865" s="1"/>
      <c r="L865" s="110"/>
      <c r="M865" s="111"/>
      <c r="N865" s="112"/>
      <c r="O865" s="113"/>
      <c r="Q865" s="1"/>
      <c r="R865" s="1"/>
      <c r="S865" s="1"/>
      <c r="T865" s="1"/>
      <c r="U865" s="1"/>
      <c r="V865" s="1"/>
    </row>
    <row r="866">
      <c r="D866" s="4"/>
      <c r="E866" s="114"/>
      <c r="F866" s="109"/>
      <c r="H866" s="1"/>
      <c r="I866" s="1"/>
      <c r="L866" s="110"/>
      <c r="M866" s="111"/>
      <c r="N866" s="112"/>
      <c r="O866" s="113"/>
      <c r="Q866" s="1"/>
      <c r="R866" s="1"/>
      <c r="S866" s="1"/>
      <c r="T866" s="1"/>
      <c r="U866" s="1"/>
      <c r="V866" s="1"/>
    </row>
    <row r="867">
      <c r="D867" s="4"/>
      <c r="E867" s="114"/>
      <c r="F867" s="109"/>
      <c r="H867" s="1"/>
      <c r="I867" s="1"/>
      <c r="L867" s="110"/>
      <c r="M867" s="111"/>
      <c r="N867" s="112"/>
      <c r="O867" s="113"/>
      <c r="Q867" s="1"/>
      <c r="R867" s="1"/>
      <c r="S867" s="1"/>
      <c r="T867" s="1"/>
      <c r="U867" s="1"/>
      <c r="V867" s="1"/>
    </row>
    <row r="868">
      <c r="D868" s="4"/>
      <c r="E868" s="114"/>
      <c r="F868" s="109"/>
      <c r="H868" s="1"/>
      <c r="I868" s="1"/>
      <c r="L868" s="110"/>
      <c r="M868" s="111"/>
      <c r="N868" s="112"/>
      <c r="O868" s="113"/>
      <c r="Q868" s="1"/>
      <c r="R868" s="1"/>
      <c r="S868" s="1"/>
      <c r="T868" s="1"/>
      <c r="U868" s="1"/>
      <c r="V868" s="1"/>
    </row>
    <row r="869">
      <c r="D869" s="4"/>
      <c r="E869" s="114"/>
      <c r="F869" s="109"/>
      <c r="H869" s="1"/>
      <c r="I869" s="1"/>
      <c r="L869" s="110"/>
      <c r="M869" s="111"/>
      <c r="N869" s="112"/>
      <c r="O869" s="113"/>
      <c r="Q869" s="1"/>
      <c r="R869" s="1"/>
      <c r="S869" s="1"/>
      <c r="T869" s="1"/>
      <c r="U869" s="1"/>
      <c r="V869" s="1"/>
    </row>
    <row r="870">
      <c r="D870" s="4"/>
      <c r="E870" s="114"/>
      <c r="F870" s="109"/>
      <c r="H870" s="1"/>
      <c r="I870" s="1"/>
      <c r="L870" s="110"/>
      <c r="M870" s="111"/>
      <c r="N870" s="112"/>
      <c r="O870" s="113"/>
      <c r="Q870" s="1"/>
      <c r="R870" s="1"/>
      <c r="S870" s="1"/>
      <c r="T870" s="1"/>
      <c r="U870" s="1"/>
      <c r="V870" s="1"/>
    </row>
    <row r="871">
      <c r="D871" s="4"/>
      <c r="E871" s="114"/>
      <c r="F871" s="109"/>
      <c r="H871" s="1"/>
      <c r="I871" s="1"/>
      <c r="L871" s="110"/>
      <c r="M871" s="111"/>
      <c r="N871" s="112"/>
      <c r="O871" s="113"/>
      <c r="Q871" s="1"/>
      <c r="R871" s="1"/>
      <c r="S871" s="1"/>
      <c r="T871" s="1"/>
      <c r="U871" s="1"/>
      <c r="V871" s="1"/>
    </row>
    <row r="872">
      <c r="D872" s="4"/>
      <c r="E872" s="114"/>
      <c r="F872" s="109"/>
      <c r="H872" s="1"/>
      <c r="I872" s="1"/>
      <c r="L872" s="110"/>
      <c r="M872" s="111"/>
      <c r="N872" s="112"/>
      <c r="O872" s="113"/>
      <c r="Q872" s="1"/>
      <c r="R872" s="1"/>
      <c r="S872" s="1"/>
      <c r="T872" s="1"/>
      <c r="U872" s="1"/>
      <c r="V872" s="1"/>
    </row>
    <row r="873">
      <c r="D873" s="4"/>
      <c r="E873" s="114"/>
      <c r="F873" s="109"/>
      <c r="H873" s="1"/>
      <c r="I873" s="1"/>
      <c r="L873" s="110"/>
      <c r="M873" s="111"/>
      <c r="N873" s="112"/>
      <c r="O873" s="113"/>
      <c r="Q873" s="1"/>
      <c r="R873" s="1"/>
      <c r="S873" s="1"/>
      <c r="T873" s="1"/>
      <c r="U873" s="1"/>
      <c r="V873" s="1"/>
    </row>
    <row r="874">
      <c r="D874" s="4"/>
      <c r="E874" s="114"/>
      <c r="F874" s="109"/>
      <c r="H874" s="1"/>
      <c r="I874" s="1"/>
      <c r="L874" s="110"/>
      <c r="M874" s="111"/>
      <c r="N874" s="112"/>
      <c r="O874" s="113"/>
      <c r="Q874" s="1"/>
      <c r="R874" s="1"/>
      <c r="S874" s="1"/>
      <c r="T874" s="1"/>
      <c r="U874" s="1"/>
      <c r="V874" s="1"/>
    </row>
    <row r="875">
      <c r="D875" s="4"/>
      <c r="E875" s="114"/>
      <c r="F875" s="109"/>
      <c r="H875" s="1"/>
      <c r="I875" s="1"/>
      <c r="L875" s="110"/>
      <c r="M875" s="111"/>
      <c r="N875" s="112"/>
      <c r="O875" s="113"/>
      <c r="Q875" s="1"/>
      <c r="R875" s="1"/>
      <c r="S875" s="1"/>
      <c r="T875" s="1"/>
      <c r="U875" s="1"/>
      <c r="V875" s="1"/>
    </row>
    <row r="876">
      <c r="D876" s="4"/>
      <c r="E876" s="114"/>
      <c r="F876" s="109"/>
      <c r="H876" s="1"/>
      <c r="I876" s="1"/>
      <c r="L876" s="110"/>
      <c r="M876" s="111"/>
      <c r="N876" s="112"/>
      <c r="O876" s="113"/>
      <c r="Q876" s="1"/>
      <c r="R876" s="1"/>
      <c r="S876" s="1"/>
      <c r="T876" s="1"/>
      <c r="U876" s="1"/>
      <c r="V876" s="1"/>
    </row>
    <row r="877">
      <c r="D877" s="4"/>
      <c r="E877" s="114"/>
      <c r="F877" s="109"/>
      <c r="H877" s="1"/>
      <c r="I877" s="1"/>
      <c r="L877" s="110"/>
      <c r="M877" s="111"/>
      <c r="N877" s="112"/>
      <c r="O877" s="113"/>
      <c r="Q877" s="1"/>
      <c r="R877" s="1"/>
      <c r="S877" s="1"/>
      <c r="T877" s="1"/>
      <c r="U877" s="1"/>
      <c r="V877" s="1"/>
    </row>
    <row r="878">
      <c r="D878" s="4"/>
      <c r="E878" s="114"/>
      <c r="F878" s="109"/>
      <c r="H878" s="1"/>
      <c r="I878" s="1"/>
      <c r="L878" s="110"/>
      <c r="M878" s="111"/>
      <c r="N878" s="112"/>
      <c r="O878" s="113"/>
      <c r="Q878" s="1"/>
      <c r="R878" s="1"/>
      <c r="S878" s="1"/>
      <c r="T878" s="1"/>
      <c r="U878" s="1"/>
      <c r="V878" s="1"/>
    </row>
    <row r="879">
      <c r="D879" s="4"/>
      <c r="E879" s="114"/>
      <c r="F879" s="109"/>
      <c r="H879" s="1"/>
      <c r="I879" s="1"/>
      <c r="L879" s="110"/>
      <c r="M879" s="111"/>
      <c r="N879" s="112"/>
      <c r="O879" s="113"/>
      <c r="Q879" s="1"/>
      <c r="R879" s="1"/>
      <c r="S879" s="1"/>
      <c r="T879" s="1"/>
      <c r="U879" s="1"/>
      <c r="V879" s="1"/>
    </row>
    <row r="880">
      <c r="D880" s="4"/>
      <c r="E880" s="114"/>
      <c r="F880" s="109"/>
      <c r="H880" s="1"/>
      <c r="I880" s="1"/>
      <c r="L880" s="110"/>
      <c r="M880" s="111"/>
      <c r="N880" s="112"/>
      <c r="O880" s="113"/>
      <c r="Q880" s="1"/>
      <c r="R880" s="1"/>
      <c r="S880" s="1"/>
      <c r="T880" s="1"/>
      <c r="U880" s="1"/>
      <c r="V880" s="1"/>
    </row>
    <row r="881">
      <c r="D881" s="4"/>
      <c r="E881" s="114"/>
      <c r="F881" s="109"/>
      <c r="H881" s="1"/>
      <c r="I881" s="1"/>
      <c r="L881" s="110"/>
      <c r="M881" s="111"/>
      <c r="N881" s="112"/>
      <c r="O881" s="113"/>
      <c r="Q881" s="1"/>
      <c r="R881" s="1"/>
      <c r="S881" s="1"/>
      <c r="T881" s="1"/>
      <c r="U881" s="1"/>
      <c r="V881" s="1"/>
    </row>
    <row r="882">
      <c r="D882" s="4"/>
      <c r="E882" s="114"/>
      <c r="F882" s="109"/>
      <c r="H882" s="1"/>
      <c r="I882" s="1"/>
      <c r="L882" s="110"/>
      <c r="M882" s="111"/>
      <c r="N882" s="112"/>
      <c r="O882" s="113"/>
      <c r="Q882" s="1"/>
      <c r="R882" s="1"/>
      <c r="S882" s="1"/>
      <c r="T882" s="1"/>
      <c r="U882" s="1"/>
      <c r="V882" s="1"/>
    </row>
    <row r="883">
      <c r="D883" s="4"/>
      <c r="E883" s="114"/>
      <c r="F883" s="109"/>
      <c r="H883" s="1"/>
      <c r="I883" s="1"/>
      <c r="L883" s="110"/>
      <c r="M883" s="111"/>
      <c r="N883" s="112"/>
      <c r="O883" s="113"/>
      <c r="Q883" s="1"/>
      <c r="R883" s="1"/>
      <c r="S883" s="1"/>
      <c r="T883" s="1"/>
      <c r="U883" s="1"/>
      <c r="V883" s="1"/>
    </row>
    <row r="884">
      <c r="D884" s="4"/>
      <c r="E884" s="114"/>
      <c r="F884" s="109"/>
      <c r="H884" s="1"/>
      <c r="I884" s="1"/>
      <c r="L884" s="110"/>
      <c r="M884" s="111"/>
      <c r="N884" s="112"/>
      <c r="O884" s="113"/>
      <c r="Q884" s="1"/>
      <c r="R884" s="1"/>
      <c r="S884" s="1"/>
      <c r="T884" s="1"/>
      <c r="U884" s="1"/>
      <c r="V884" s="1"/>
    </row>
    <row r="885">
      <c r="D885" s="4"/>
      <c r="E885" s="114"/>
      <c r="F885" s="109"/>
      <c r="H885" s="1"/>
      <c r="I885" s="1"/>
      <c r="L885" s="110"/>
      <c r="M885" s="111"/>
      <c r="N885" s="112"/>
      <c r="O885" s="113"/>
      <c r="Q885" s="1"/>
      <c r="R885" s="1"/>
      <c r="S885" s="1"/>
      <c r="T885" s="1"/>
      <c r="U885" s="1"/>
      <c r="V885" s="1"/>
    </row>
    <row r="886">
      <c r="D886" s="4"/>
      <c r="E886" s="114"/>
      <c r="F886" s="109"/>
      <c r="H886" s="1"/>
      <c r="I886" s="1"/>
      <c r="L886" s="110"/>
      <c r="M886" s="111"/>
      <c r="N886" s="112"/>
      <c r="O886" s="113"/>
      <c r="Q886" s="1"/>
      <c r="R886" s="1"/>
      <c r="S886" s="1"/>
      <c r="T886" s="1"/>
      <c r="U886" s="1"/>
      <c r="V886" s="1"/>
    </row>
    <row r="887">
      <c r="D887" s="4"/>
      <c r="E887" s="114"/>
      <c r="F887" s="109"/>
      <c r="H887" s="1"/>
      <c r="I887" s="1"/>
      <c r="L887" s="110"/>
      <c r="M887" s="111"/>
      <c r="N887" s="112"/>
      <c r="O887" s="113"/>
      <c r="Q887" s="1"/>
      <c r="R887" s="1"/>
      <c r="S887" s="1"/>
      <c r="T887" s="1"/>
      <c r="U887" s="1"/>
      <c r="V887" s="1"/>
    </row>
    <row r="888">
      <c r="D888" s="4"/>
      <c r="E888" s="114"/>
      <c r="F888" s="109"/>
      <c r="H888" s="1"/>
      <c r="I888" s="1"/>
      <c r="L888" s="110"/>
      <c r="M888" s="111"/>
      <c r="N888" s="112"/>
      <c r="O888" s="113"/>
      <c r="Q888" s="1"/>
      <c r="R888" s="1"/>
      <c r="S888" s="1"/>
      <c r="T888" s="1"/>
      <c r="U888" s="1"/>
      <c r="V888" s="1"/>
    </row>
    <row r="889">
      <c r="D889" s="4"/>
      <c r="E889" s="114"/>
      <c r="F889" s="109"/>
      <c r="H889" s="1"/>
      <c r="I889" s="1"/>
      <c r="L889" s="110"/>
      <c r="M889" s="111"/>
      <c r="N889" s="112"/>
      <c r="O889" s="113"/>
      <c r="Q889" s="1"/>
      <c r="R889" s="1"/>
      <c r="S889" s="1"/>
      <c r="T889" s="1"/>
      <c r="U889" s="1"/>
      <c r="V889" s="1"/>
    </row>
    <row r="890">
      <c r="D890" s="4"/>
      <c r="E890" s="114"/>
      <c r="F890" s="109"/>
      <c r="H890" s="1"/>
      <c r="I890" s="1"/>
      <c r="L890" s="110"/>
      <c r="M890" s="111"/>
      <c r="N890" s="112"/>
      <c r="O890" s="113"/>
      <c r="Q890" s="1"/>
      <c r="R890" s="1"/>
      <c r="S890" s="1"/>
      <c r="T890" s="1"/>
      <c r="U890" s="1"/>
      <c r="V890" s="1"/>
    </row>
    <row r="891">
      <c r="D891" s="4"/>
      <c r="E891" s="114"/>
      <c r="F891" s="109"/>
      <c r="H891" s="1"/>
      <c r="I891" s="1"/>
      <c r="L891" s="110"/>
      <c r="M891" s="111"/>
      <c r="N891" s="112"/>
      <c r="O891" s="113"/>
      <c r="Q891" s="1"/>
      <c r="R891" s="1"/>
      <c r="S891" s="1"/>
      <c r="T891" s="1"/>
      <c r="U891" s="1"/>
      <c r="V891" s="1"/>
    </row>
    <row r="892">
      <c r="D892" s="4"/>
      <c r="E892" s="114"/>
      <c r="F892" s="109"/>
      <c r="H892" s="1"/>
      <c r="I892" s="1"/>
      <c r="L892" s="110"/>
      <c r="M892" s="111"/>
      <c r="N892" s="112"/>
      <c r="O892" s="113"/>
      <c r="Q892" s="1"/>
      <c r="R892" s="1"/>
      <c r="S892" s="1"/>
      <c r="T892" s="1"/>
      <c r="U892" s="1"/>
      <c r="V892" s="1"/>
    </row>
    <row r="893">
      <c r="D893" s="4"/>
      <c r="E893" s="114"/>
      <c r="F893" s="109"/>
      <c r="H893" s="1"/>
      <c r="I893" s="1"/>
      <c r="L893" s="110"/>
      <c r="M893" s="111"/>
      <c r="N893" s="112"/>
      <c r="O893" s="113"/>
      <c r="Q893" s="1"/>
      <c r="R893" s="1"/>
      <c r="S893" s="1"/>
      <c r="T893" s="1"/>
      <c r="U893" s="1"/>
      <c r="V893" s="1"/>
    </row>
    <row r="894">
      <c r="D894" s="4"/>
      <c r="E894" s="114"/>
      <c r="F894" s="109"/>
      <c r="H894" s="1"/>
      <c r="I894" s="1"/>
      <c r="L894" s="110"/>
      <c r="M894" s="111"/>
      <c r="N894" s="112"/>
      <c r="O894" s="113"/>
      <c r="Q894" s="1"/>
      <c r="R894" s="1"/>
      <c r="S894" s="1"/>
      <c r="T894" s="1"/>
      <c r="U894" s="1"/>
      <c r="V894" s="1"/>
    </row>
    <row r="895">
      <c r="D895" s="4"/>
      <c r="E895" s="114"/>
      <c r="F895" s="109"/>
      <c r="H895" s="1"/>
      <c r="I895" s="1"/>
      <c r="L895" s="110"/>
      <c r="M895" s="111"/>
      <c r="N895" s="112"/>
      <c r="O895" s="113"/>
      <c r="Q895" s="1"/>
      <c r="R895" s="1"/>
      <c r="S895" s="1"/>
      <c r="T895" s="1"/>
      <c r="U895" s="1"/>
      <c r="V895" s="1"/>
    </row>
    <row r="896">
      <c r="D896" s="4"/>
      <c r="E896" s="114"/>
      <c r="F896" s="109"/>
      <c r="H896" s="1"/>
      <c r="I896" s="1"/>
      <c r="L896" s="110"/>
      <c r="M896" s="111"/>
      <c r="N896" s="112"/>
      <c r="O896" s="113"/>
      <c r="Q896" s="1"/>
      <c r="R896" s="1"/>
      <c r="S896" s="1"/>
      <c r="T896" s="1"/>
      <c r="U896" s="1"/>
      <c r="V896" s="1"/>
    </row>
    <row r="897">
      <c r="D897" s="4"/>
      <c r="E897" s="114"/>
      <c r="F897" s="109"/>
      <c r="H897" s="1"/>
      <c r="I897" s="1"/>
      <c r="L897" s="110"/>
      <c r="M897" s="111"/>
      <c r="N897" s="112"/>
      <c r="O897" s="113"/>
      <c r="Q897" s="1"/>
      <c r="R897" s="1"/>
      <c r="S897" s="1"/>
      <c r="T897" s="1"/>
      <c r="U897" s="1"/>
      <c r="V897" s="1"/>
    </row>
    <row r="898">
      <c r="D898" s="4"/>
      <c r="E898" s="114"/>
      <c r="F898" s="109"/>
      <c r="H898" s="1"/>
      <c r="I898" s="1"/>
      <c r="L898" s="110"/>
      <c r="M898" s="111"/>
      <c r="N898" s="112"/>
      <c r="O898" s="113"/>
      <c r="Q898" s="1"/>
      <c r="R898" s="1"/>
      <c r="S898" s="1"/>
      <c r="T898" s="1"/>
      <c r="U898" s="1"/>
      <c r="V898" s="1"/>
    </row>
    <row r="899">
      <c r="D899" s="4"/>
      <c r="E899" s="114"/>
      <c r="F899" s="109"/>
      <c r="H899" s="1"/>
      <c r="I899" s="1"/>
      <c r="L899" s="110"/>
      <c r="M899" s="111"/>
      <c r="N899" s="112"/>
      <c r="O899" s="113"/>
      <c r="Q899" s="1"/>
      <c r="R899" s="1"/>
      <c r="S899" s="1"/>
      <c r="T899" s="1"/>
      <c r="U899" s="1"/>
      <c r="V899" s="1"/>
    </row>
    <row r="900">
      <c r="D900" s="4"/>
      <c r="E900" s="114"/>
      <c r="F900" s="109"/>
      <c r="H900" s="1"/>
      <c r="I900" s="1"/>
      <c r="L900" s="110"/>
      <c r="M900" s="111"/>
      <c r="N900" s="112"/>
      <c r="O900" s="113"/>
      <c r="Q900" s="1"/>
      <c r="R900" s="1"/>
      <c r="S900" s="1"/>
      <c r="T900" s="1"/>
      <c r="U900" s="1"/>
      <c r="V900" s="1"/>
    </row>
    <row r="901">
      <c r="D901" s="4"/>
      <c r="E901" s="114"/>
      <c r="F901" s="109"/>
      <c r="H901" s="1"/>
      <c r="I901" s="1"/>
      <c r="L901" s="110"/>
      <c r="M901" s="111"/>
      <c r="N901" s="112"/>
      <c r="O901" s="113"/>
      <c r="Q901" s="1"/>
      <c r="R901" s="1"/>
      <c r="S901" s="1"/>
      <c r="T901" s="1"/>
      <c r="U901" s="1"/>
      <c r="V901" s="1"/>
    </row>
    <row r="902">
      <c r="D902" s="4"/>
      <c r="E902" s="114"/>
      <c r="F902" s="109"/>
      <c r="H902" s="1"/>
      <c r="I902" s="1"/>
      <c r="L902" s="110"/>
      <c r="M902" s="111"/>
      <c r="N902" s="112"/>
      <c r="O902" s="113"/>
      <c r="Q902" s="1"/>
      <c r="R902" s="1"/>
      <c r="S902" s="1"/>
      <c r="T902" s="1"/>
      <c r="U902" s="1"/>
      <c r="V902" s="1"/>
    </row>
    <row r="903">
      <c r="D903" s="4"/>
      <c r="E903" s="114"/>
      <c r="F903" s="109"/>
      <c r="H903" s="1"/>
      <c r="I903" s="1"/>
      <c r="L903" s="110"/>
      <c r="M903" s="111"/>
      <c r="N903" s="112"/>
      <c r="O903" s="113"/>
      <c r="Q903" s="1"/>
      <c r="R903" s="1"/>
      <c r="S903" s="1"/>
      <c r="T903" s="1"/>
      <c r="U903" s="1"/>
      <c r="V903" s="1"/>
    </row>
    <row r="904">
      <c r="D904" s="4"/>
      <c r="E904" s="114"/>
      <c r="F904" s="109"/>
      <c r="H904" s="1"/>
      <c r="I904" s="1"/>
      <c r="L904" s="110"/>
      <c r="M904" s="111"/>
      <c r="N904" s="112"/>
      <c r="O904" s="113"/>
      <c r="Q904" s="1"/>
      <c r="R904" s="1"/>
      <c r="S904" s="1"/>
      <c r="T904" s="1"/>
      <c r="U904" s="1"/>
      <c r="V904" s="1"/>
    </row>
    <row r="905">
      <c r="D905" s="4"/>
      <c r="E905" s="114"/>
      <c r="F905" s="109"/>
      <c r="H905" s="1"/>
      <c r="I905" s="1"/>
      <c r="L905" s="110"/>
      <c r="M905" s="111"/>
      <c r="N905" s="112"/>
      <c r="O905" s="113"/>
      <c r="Q905" s="1"/>
      <c r="R905" s="1"/>
      <c r="S905" s="1"/>
      <c r="T905" s="1"/>
      <c r="U905" s="1"/>
      <c r="V905" s="1"/>
    </row>
    <row r="906">
      <c r="D906" s="4"/>
      <c r="E906" s="114"/>
      <c r="F906" s="109"/>
      <c r="H906" s="1"/>
      <c r="I906" s="1"/>
      <c r="L906" s="110"/>
      <c r="M906" s="111"/>
      <c r="N906" s="112"/>
      <c r="O906" s="113"/>
      <c r="Q906" s="1"/>
      <c r="R906" s="1"/>
      <c r="S906" s="1"/>
      <c r="T906" s="1"/>
      <c r="U906" s="1"/>
      <c r="V906" s="1"/>
    </row>
    <row r="907">
      <c r="D907" s="4"/>
      <c r="E907" s="114"/>
      <c r="F907" s="109"/>
      <c r="H907" s="1"/>
      <c r="I907" s="1"/>
      <c r="L907" s="110"/>
      <c r="M907" s="111"/>
      <c r="N907" s="112"/>
      <c r="O907" s="113"/>
      <c r="Q907" s="1"/>
      <c r="R907" s="1"/>
      <c r="S907" s="1"/>
      <c r="T907" s="1"/>
      <c r="U907" s="1"/>
      <c r="V907" s="1"/>
    </row>
    <row r="908">
      <c r="D908" s="4"/>
      <c r="E908" s="114"/>
      <c r="F908" s="109"/>
      <c r="H908" s="1"/>
      <c r="I908" s="1"/>
      <c r="L908" s="110"/>
      <c r="M908" s="111"/>
      <c r="N908" s="112"/>
      <c r="O908" s="113"/>
      <c r="Q908" s="1"/>
      <c r="R908" s="1"/>
      <c r="S908" s="1"/>
      <c r="T908" s="1"/>
      <c r="U908" s="1"/>
      <c r="V908" s="1"/>
    </row>
    <row r="909">
      <c r="D909" s="4"/>
      <c r="E909" s="114"/>
      <c r="F909" s="109"/>
      <c r="H909" s="1"/>
      <c r="I909" s="1"/>
      <c r="L909" s="110"/>
      <c r="M909" s="111"/>
      <c r="N909" s="112"/>
      <c r="O909" s="113"/>
      <c r="Q909" s="1"/>
      <c r="R909" s="1"/>
      <c r="S909" s="1"/>
      <c r="T909" s="1"/>
      <c r="U909" s="1"/>
      <c r="V909" s="1"/>
    </row>
    <row r="910">
      <c r="D910" s="4"/>
      <c r="E910" s="114"/>
      <c r="F910" s="109"/>
      <c r="H910" s="1"/>
      <c r="I910" s="1"/>
      <c r="L910" s="110"/>
      <c r="M910" s="111"/>
      <c r="N910" s="112"/>
      <c r="O910" s="113"/>
      <c r="Q910" s="1"/>
      <c r="R910" s="1"/>
      <c r="S910" s="1"/>
      <c r="T910" s="1"/>
      <c r="U910" s="1"/>
      <c r="V910" s="1"/>
    </row>
    <row r="911">
      <c r="D911" s="4"/>
      <c r="E911" s="114"/>
      <c r="F911" s="109"/>
      <c r="H911" s="1"/>
      <c r="I911" s="1"/>
      <c r="L911" s="110"/>
      <c r="M911" s="111"/>
      <c r="N911" s="112"/>
      <c r="O911" s="113"/>
      <c r="Q911" s="1"/>
      <c r="R911" s="1"/>
      <c r="S911" s="1"/>
      <c r="T911" s="1"/>
      <c r="U911" s="1"/>
      <c r="V911" s="1"/>
    </row>
    <row r="912">
      <c r="D912" s="4"/>
      <c r="E912" s="114"/>
      <c r="F912" s="109"/>
      <c r="H912" s="1"/>
      <c r="I912" s="1"/>
      <c r="L912" s="110"/>
      <c r="M912" s="111"/>
      <c r="N912" s="112"/>
      <c r="O912" s="113"/>
      <c r="Q912" s="1"/>
      <c r="R912" s="1"/>
      <c r="S912" s="1"/>
      <c r="T912" s="1"/>
      <c r="U912" s="1"/>
      <c r="V912" s="1"/>
    </row>
    <row r="913">
      <c r="D913" s="4"/>
      <c r="E913" s="114"/>
      <c r="F913" s="109"/>
      <c r="H913" s="1"/>
      <c r="I913" s="1"/>
      <c r="L913" s="110"/>
      <c r="M913" s="111"/>
      <c r="N913" s="112"/>
      <c r="O913" s="113"/>
      <c r="Q913" s="1"/>
      <c r="R913" s="1"/>
      <c r="S913" s="1"/>
      <c r="T913" s="1"/>
      <c r="U913" s="1"/>
      <c r="V913" s="1"/>
    </row>
    <row r="914">
      <c r="D914" s="4"/>
      <c r="E914" s="114"/>
      <c r="F914" s="109"/>
      <c r="H914" s="1"/>
      <c r="I914" s="1"/>
      <c r="L914" s="110"/>
      <c r="M914" s="111"/>
      <c r="N914" s="112"/>
      <c r="O914" s="113"/>
      <c r="Q914" s="1"/>
      <c r="R914" s="1"/>
      <c r="S914" s="1"/>
      <c r="T914" s="1"/>
      <c r="U914" s="1"/>
      <c r="V914" s="1"/>
    </row>
    <row r="915">
      <c r="D915" s="4"/>
      <c r="E915" s="114"/>
      <c r="F915" s="109"/>
      <c r="H915" s="1"/>
      <c r="I915" s="1"/>
      <c r="L915" s="110"/>
      <c r="M915" s="111"/>
      <c r="N915" s="112"/>
      <c r="O915" s="113"/>
      <c r="Q915" s="1"/>
      <c r="R915" s="1"/>
      <c r="S915" s="1"/>
      <c r="T915" s="1"/>
      <c r="U915" s="1"/>
      <c r="V915" s="1"/>
    </row>
    <row r="916">
      <c r="D916" s="4"/>
      <c r="E916" s="114"/>
      <c r="F916" s="109"/>
      <c r="H916" s="1"/>
      <c r="I916" s="1"/>
      <c r="L916" s="110"/>
      <c r="M916" s="111"/>
      <c r="N916" s="112"/>
      <c r="O916" s="113"/>
      <c r="Q916" s="1"/>
      <c r="R916" s="1"/>
      <c r="S916" s="1"/>
      <c r="T916" s="1"/>
      <c r="U916" s="1"/>
      <c r="V916" s="1"/>
    </row>
    <row r="917">
      <c r="D917" s="4"/>
      <c r="E917" s="114"/>
      <c r="F917" s="109"/>
      <c r="H917" s="1"/>
      <c r="I917" s="1"/>
      <c r="L917" s="110"/>
      <c r="M917" s="111"/>
      <c r="N917" s="112"/>
      <c r="O917" s="113"/>
      <c r="Q917" s="1"/>
      <c r="R917" s="1"/>
      <c r="S917" s="1"/>
      <c r="T917" s="1"/>
      <c r="U917" s="1"/>
      <c r="V917" s="1"/>
    </row>
    <row r="918">
      <c r="D918" s="4"/>
      <c r="E918" s="114"/>
      <c r="F918" s="109"/>
      <c r="H918" s="1"/>
      <c r="I918" s="1"/>
      <c r="L918" s="110"/>
      <c r="M918" s="111"/>
      <c r="N918" s="112"/>
      <c r="O918" s="113"/>
      <c r="Q918" s="1"/>
      <c r="R918" s="1"/>
      <c r="S918" s="1"/>
      <c r="T918" s="1"/>
      <c r="U918" s="1"/>
      <c r="V918" s="1"/>
    </row>
    <row r="919">
      <c r="D919" s="4"/>
      <c r="E919" s="114"/>
      <c r="F919" s="109"/>
      <c r="H919" s="1"/>
      <c r="I919" s="1"/>
      <c r="L919" s="110"/>
      <c r="M919" s="111"/>
      <c r="N919" s="112"/>
      <c r="O919" s="113"/>
      <c r="Q919" s="1"/>
      <c r="R919" s="1"/>
      <c r="S919" s="1"/>
      <c r="T919" s="1"/>
      <c r="U919" s="1"/>
      <c r="V919" s="1"/>
    </row>
    <row r="920">
      <c r="D920" s="4"/>
      <c r="E920" s="114"/>
      <c r="F920" s="109"/>
      <c r="H920" s="1"/>
      <c r="I920" s="1"/>
      <c r="L920" s="110"/>
      <c r="M920" s="111"/>
      <c r="N920" s="112"/>
      <c r="O920" s="113"/>
      <c r="Q920" s="1"/>
      <c r="R920" s="1"/>
      <c r="S920" s="1"/>
      <c r="T920" s="1"/>
      <c r="U920" s="1"/>
      <c r="V920" s="1"/>
    </row>
    <row r="921">
      <c r="D921" s="4"/>
      <c r="E921" s="114"/>
      <c r="F921" s="109"/>
      <c r="H921" s="1"/>
      <c r="I921" s="1"/>
      <c r="L921" s="110"/>
      <c r="M921" s="111"/>
      <c r="N921" s="112"/>
      <c r="O921" s="113"/>
      <c r="Q921" s="1"/>
      <c r="R921" s="1"/>
      <c r="S921" s="1"/>
      <c r="T921" s="1"/>
      <c r="U921" s="1"/>
      <c r="V921" s="1"/>
    </row>
    <row r="922">
      <c r="D922" s="4"/>
      <c r="E922" s="114"/>
      <c r="F922" s="109"/>
      <c r="H922" s="1"/>
      <c r="I922" s="1"/>
      <c r="L922" s="110"/>
      <c r="M922" s="111"/>
      <c r="N922" s="112"/>
      <c r="O922" s="113"/>
      <c r="Q922" s="1"/>
      <c r="R922" s="1"/>
      <c r="S922" s="1"/>
      <c r="T922" s="1"/>
      <c r="U922" s="1"/>
      <c r="V922" s="1"/>
    </row>
    <row r="923">
      <c r="D923" s="4"/>
      <c r="E923" s="114"/>
      <c r="F923" s="109"/>
      <c r="H923" s="1"/>
      <c r="I923" s="1"/>
      <c r="L923" s="110"/>
      <c r="M923" s="111"/>
      <c r="N923" s="112"/>
      <c r="O923" s="113"/>
      <c r="Q923" s="1"/>
      <c r="R923" s="1"/>
      <c r="S923" s="1"/>
      <c r="T923" s="1"/>
      <c r="U923" s="1"/>
      <c r="V923" s="1"/>
    </row>
    <row r="924">
      <c r="D924" s="4"/>
      <c r="E924" s="114"/>
      <c r="F924" s="109"/>
      <c r="H924" s="1"/>
      <c r="I924" s="1"/>
      <c r="L924" s="110"/>
      <c r="M924" s="111"/>
      <c r="N924" s="112"/>
      <c r="O924" s="113"/>
      <c r="Q924" s="1"/>
      <c r="R924" s="1"/>
      <c r="S924" s="1"/>
      <c r="T924" s="1"/>
      <c r="U924" s="1"/>
      <c r="V924" s="1"/>
    </row>
    <row r="925">
      <c r="D925" s="4"/>
      <c r="E925" s="114"/>
      <c r="F925" s="109"/>
      <c r="H925" s="1"/>
      <c r="I925" s="1"/>
      <c r="L925" s="110"/>
      <c r="M925" s="111"/>
      <c r="N925" s="112"/>
      <c r="O925" s="113"/>
      <c r="Q925" s="1"/>
      <c r="R925" s="1"/>
      <c r="S925" s="1"/>
      <c r="T925" s="1"/>
      <c r="U925" s="1"/>
      <c r="V925" s="1"/>
    </row>
    <row r="926">
      <c r="D926" s="4"/>
      <c r="E926" s="114"/>
      <c r="F926" s="109"/>
      <c r="H926" s="1"/>
      <c r="I926" s="1"/>
      <c r="L926" s="110"/>
      <c r="M926" s="111"/>
      <c r="N926" s="112"/>
      <c r="O926" s="113"/>
      <c r="Q926" s="1"/>
      <c r="R926" s="1"/>
      <c r="S926" s="1"/>
      <c r="T926" s="1"/>
      <c r="U926" s="1"/>
      <c r="V926" s="1"/>
    </row>
    <row r="927">
      <c r="D927" s="4"/>
      <c r="E927" s="114"/>
      <c r="F927" s="109"/>
      <c r="H927" s="1"/>
      <c r="I927" s="1"/>
      <c r="L927" s="110"/>
      <c r="M927" s="111"/>
      <c r="N927" s="112"/>
      <c r="O927" s="113"/>
      <c r="Q927" s="1"/>
      <c r="R927" s="1"/>
      <c r="S927" s="1"/>
      <c r="T927" s="1"/>
      <c r="U927" s="1"/>
      <c r="V927" s="1"/>
    </row>
    <row r="928">
      <c r="D928" s="4"/>
      <c r="E928" s="114"/>
      <c r="F928" s="109"/>
      <c r="H928" s="1"/>
      <c r="I928" s="1"/>
      <c r="L928" s="110"/>
      <c r="M928" s="111"/>
      <c r="N928" s="112"/>
      <c r="O928" s="113"/>
      <c r="Q928" s="1"/>
      <c r="R928" s="1"/>
      <c r="S928" s="1"/>
      <c r="T928" s="1"/>
      <c r="U928" s="1"/>
      <c r="V928" s="1"/>
    </row>
    <row r="929">
      <c r="D929" s="4"/>
      <c r="E929" s="114"/>
      <c r="F929" s="109"/>
      <c r="H929" s="1"/>
      <c r="I929" s="1"/>
      <c r="L929" s="110"/>
      <c r="M929" s="111"/>
      <c r="N929" s="112"/>
      <c r="O929" s="113"/>
      <c r="Q929" s="1"/>
      <c r="R929" s="1"/>
      <c r="S929" s="1"/>
      <c r="T929" s="1"/>
      <c r="U929" s="1"/>
      <c r="V929" s="1"/>
    </row>
    <row r="930">
      <c r="D930" s="4"/>
      <c r="E930" s="114"/>
      <c r="F930" s="109"/>
      <c r="H930" s="1"/>
      <c r="I930" s="1"/>
      <c r="L930" s="110"/>
      <c r="M930" s="111"/>
      <c r="N930" s="112"/>
      <c r="O930" s="113"/>
      <c r="Q930" s="1"/>
      <c r="R930" s="1"/>
      <c r="S930" s="1"/>
      <c r="T930" s="1"/>
      <c r="U930" s="1"/>
      <c r="V930" s="1"/>
    </row>
    <row r="931">
      <c r="D931" s="4"/>
      <c r="E931" s="114"/>
      <c r="F931" s="109"/>
      <c r="H931" s="1"/>
      <c r="I931" s="1"/>
      <c r="L931" s="110"/>
      <c r="M931" s="111"/>
      <c r="N931" s="112"/>
      <c r="O931" s="113"/>
      <c r="Q931" s="1"/>
      <c r="R931" s="1"/>
      <c r="S931" s="1"/>
      <c r="T931" s="1"/>
      <c r="U931" s="1"/>
      <c r="V931" s="1"/>
    </row>
    <row r="932">
      <c r="D932" s="4"/>
      <c r="E932" s="114"/>
      <c r="F932" s="109"/>
      <c r="H932" s="1"/>
      <c r="I932" s="1"/>
      <c r="L932" s="110"/>
      <c r="M932" s="111"/>
      <c r="N932" s="112"/>
      <c r="O932" s="113"/>
      <c r="Q932" s="1"/>
      <c r="R932" s="1"/>
      <c r="S932" s="1"/>
      <c r="T932" s="1"/>
      <c r="U932" s="1"/>
      <c r="V932" s="1"/>
    </row>
    <row r="933">
      <c r="D933" s="4"/>
      <c r="E933" s="114"/>
      <c r="F933" s="109"/>
      <c r="H933" s="1"/>
      <c r="I933" s="1"/>
      <c r="L933" s="110"/>
      <c r="M933" s="111"/>
      <c r="N933" s="112"/>
      <c r="O933" s="113"/>
      <c r="Q933" s="1"/>
      <c r="R933" s="1"/>
      <c r="S933" s="1"/>
      <c r="T933" s="1"/>
      <c r="U933" s="1"/>
      <c r="V933" s="1"/>
    </row>
    <row r="934">
      <c r="D934" s="4"/>
      <c r="E934" s="114"/>
      <c r="F934" s="109"/>
      <c r="H934" s="1"/>
      <c r="I934" s="1"/>
      <c r="L934" s="110"/>
      <c r="M934" s="111"/>
      <c r="N934" s="112"/>
      <c r="O934" s="113"/>
      <c r="Q934" s="1"/>
      <c r="R934" s="1"/>
      <c r="S934" s="1"/>
      <c r="T934" s="1"/>
      <c r="U934" s="1"/>
      <c r="V934" s="1"/>
    </row>
    <row r="935">
      <c r="D935" s="4"/>
      <c r="E935" s="114"/>
      <c r="F935" s="109"/>
      <c r="H935" s="1"/>
      <c r="I935" s="1"/>
      <c r="L935" s="110"/>
      <c r="M935" s="111"/>
      <c r="N935" s="112"/>
      <c r="O935" s="113"/>
      <c r="Q935" s="1"/>
      <c r="R935" s="1"/>
      <c r="S935" s="1"/>
      <c r="T935" s="1"/>
      <c r="U935" s="1"/>
      <c r="V935" s="1"/>
    </row>
    <row r="936">
      <c r="D936" s="4"/>
      <c r="E936" s="114"/>
      <c r="F936" s="109"/>
      <c r="H936" s="1"/>
      <c r="I936" s="1"/>
      <c r="L936" s="110"/>
      <c r="M936" s="111"/>
      <c r="N936" s="112"/>
      <c r="O936" s="113"/>
      <c r="Q936" s="1"/>
      <c r="R936" s="1"/>
      <c r="S936" s="1"/>
      <c r="T936" s="1"/>
      <c r="U936" s="1"/>
      <c r="V936" s="1"/>
    </row>
    <row r="937">
      <c r="D937" s="4"/>
      <c r="E937" s="114"/>
      <c r="F937" s="109"/>
      <c r="H937" s="1"/>
      <c r="I937" s="1"/>
      <c r="L937" s="110"/>
      <c r="M937" s="111"/>
      <c r="N937" s="112"/>
      <c r="O937" s="113"/>
      <c r="Q937" s="1"/>
      <c r="R937" s="1"/>
      <c r="S937" s="1"/>
      <c r="T937" s="1"/>
      <c r="U937" s="1"/>
      <c r="V937" s="1"/>
    </row>
    <row r="938">
      <c r="D938" s="4"/>
      <c r="E938" s="114"/>
      <c r="F938" s="109"/>
      <c r="H938" s="1"/>
      <c r="I938" s="1"/>
      <c r="L938" s="110"/>
      <c r="M938" s="111"/>
      <c r="N938" s="112"/>
      <c r="O938" s="113"/>
      <c r="Q938" s="1"/>
      <c r="R938" s="1"/>
      <c r="S938" s="1"/>
      <c r="T938" s="1"/>
      <c r="U938" s="1"/>
      <c r="V938" s="1"/>
    </row>
    <row r="939">
      <c r="D939" s="4"/>
      <c r="E939" s="114"/>
      <c r="F939" s="109"/>
      <c r="H939" s="1"/>
      <c r="I939" s="1"/>
      <c r="L939" s="110"/>
      <c r="M939" s="111"/>
      <c r="N939" s="112"/>
      <c r="O939" s="113"/>
      <c r="Q939" s="1"/>
      <c r="R939" s="1"/>
      <c r="S939" s="1"/>
      <c r="T939" s="1"/>
      <c r="U939" s="1"/>
      <c r="V939" s="1"/>
    </row>
    <row r="940">
      <c r="D940" s="4"/>
      <c r="E940" s="114"/>
      <c r="F940" s="109"/>
      <c r="H940" s="1"/>
      <c r="I940" s="1"/>
      <c r="L940" s="110"/>
      <c r="M940" s="111"/>
      <c r="N940" s="112"/>
      <c r="O940" s="113"/>
      <c r="Q940" s="1"/>
      <c r="R940" s="1"/>
      <c r="S940" s="1"/>
      <c r="T940" s="1"/>
      <c r="U940" s="1"/>
      <c r="V940" s="1"/>
    </row>
    <row r="941">
      <c r="D941" s="4"/>
      <c r="E941" s="114"/>
      <c r="F941" s="109"/>
      <c r="H941" s="1"/>
      <c r="I941" s="1"/>
      <c r="L941" s="110"/>
      <c r="M941" s="111"/>
      <c r="N941" s="112"/>
      <c r="O941" s="113"/>
      <c r="Q941" s="1"/>
      <c r="R941" s="1"/>
      <c r="S941" s="1"/>
      <c r="T941" s="1"/>
      <c r="U941" s="1"/>
      <c r="V941" s="1"/>
    </row>
    <row r="942">
      <c r="D942" s="4"/>
      <c r="E942" s="114"/>
      <c r="F942" s="109"/>
      <c r="H942" s="1"/>
      <c r="I942" s="1"/>
      <c r="L942" s="110"/>
      <c r="M942" s="111"/>
      <c r="N942" s="112"/>
      <c r="O942" s="113"/>
      <c r="Q942" s="1"/>
      <c r="R942" s="1"/>
      <c r="S942" s="1"/>
      <c r="T942" s="1"/>
      <c r="U942" s="1"/>
      <c r="V942" s="1"/>
    </row>
    <row r="943">
      <c r="D943" s="4"/>
      <c r="E943" s="114"/>
      <c r="F943" s="109"/>
      <c r="H943" s="1"/>
      <c r="I943" s="1"/>
      <c r="L943" s="110"/>
      <c r="M943" s="111"/>
      <c r="N943" s="112"/>
      <c r="O943" s="113"/>
      <c r="Q943" s="1"/>
      <c r="R943" s="1"/>
      <c r="S943" s="1"/>
      <c r="T943" s="1"/>
      <c r="U943" s="1"/>
      <c r="V943" s="1"/>
    </row>
    <row r="944">
      <c r="D944" s="4"/>
      <c r="E944" s="114"/>
      <c r="F944" s="109"/>
      <c r="H944" s="1"/>
      <c r="I944" s="1"/>
      <c r="L944" s="110"/>
      <c r="M944" s="111"/>
      <c r="N944" s="112"/>
      <c r="O944" s="113"/>
      <c r="Q944" s="1"/>
      <c r="R944" s="1"/>
      <c r="S944" s="1"/>
      <c r="T944" s="1"/>
      <c r="U944" s="1"/>
      <c r="V944" s="1"/>
    </row>
    <row r="945">
      <c r="D945" s="4"/>
      <c r="E945" s="114"/>
      <c r="F945" s="109"/>
      <c r="H945" s="1"/>
      <c r="I945" s="1"/>
      <c r="L945" s="110"/>
      <c r="M945" s="111"/>
      <c r="N945" s="112"/>
      <c r="O945" s="113"/>
      <c r="Q945" s="1"/>
      <c r="R945" s="1"/>
      <c r="S945" s="1"/>
      <c r="T945" s="1"/>
      <c r="U945" s="1"/>
      <c r="V945" s="1"/>
    </row>
    <row r="946">
      <c r="D946" s="4"/>
      <c r="E946" s="114"/>
      <c r="F946" s="109"/>
      <c r="H946" s="1"/>
      <c r="I946" s="1"/>
      <c r="L946" s="110"/>
      <c r="M946" s="111"/>
      <c r="N946" s="112"/>
      <c r="O946" s="113"/>
      <c r="Q946" s="1"/>
      <c r="R946" s="1"/>
      <c r="S946" s="1"/>
      <c r="T946" s="1"/>
      <c r="U946" s="1"/>
      <c r="V946" s="1"/>
    </row>
    <row r="947">
      <c r="D947" s="4"/>
      <c r="E947" s="114"/>
      <c r="F947" s="109"/>
      <c r="H947" s="1"/>
      <c r="I947" s="1"/>
      <c r="L947" s="110"/>
      <c r="M947" s="111"/>
      <c r="N947" s="112"/>
      <c r="O947" s="113"/>
      <c r="Q947" s="1"/>
      <c r="R947" s="1"/>
      <c r="S947" s="1"/>
      <c r="T947" s="1"/>
      <c r="U947" s="1"/>
      <c r="V947" s="1"/>
    </row>
    <row r="948">
      <c r="D948" s="4"/>
      <c r="E948" s="114"/>
      <c r="F948" s="109"/>
      <c r="H948" s="1"/>
      <c r="I948" s="1"/>
      <c r="L948" s="110"/>
      <c r="M948" s="111"/>
      <c r="N948" s="112"/>
      <c r="O948" s="113"/>
      <c r="Q948" s="1"/>
      <c r="R948" s="1"/>
      <c r="S948" s="1"/>
      <c r="T948" s="1"/>
      <c r="U948" s="1"/>
      <c r="V948" s="1"/>
    </row>
    <row r="949">
      <c r="D949" s="4"/>
      <c r="E949" s="114"/>
      <c r="F949" s="109"/>
      <c r="H949" s="1"/>
      <c r="I949" s="1"/>
      <c r="L949" s="110"/>
      <c r="M949" s="111"/>
      <c r="N949" s="112"/>
      <c r="O949" s="113"/>
      <c r="Q949" s="1"/>
      <c r="R949" s="1"/>
      <c r="S949" s="1"/>
      <c r="T949" s="1"/>
      <c r="U949" s="1"/>
      <c r="V949" s="1"/>
    </row>
    <row r="950">
      <c r="D950" s="4"/>
      <c r="E950" s="114"/>
      <c r="F950" s="109"/>
      <c r="H950" s="1"/>
      <c r="I950" s="1"/>
      <c r="L950" s="110"/>
      <c r="M950" s="111"/>
      <c r="N950" s="112"/>
      <c r="O950" s="113"/>
      <c r="Q950" s="1"/>
      <c r="R950" s="1"/>
      <c r="S950" s="1"/>
      <c r="T950" s="1"/>
      <c r="U950" s="1"/>
      <c r="V950" s="1"/>
    </row>
    <row r="951">
      <c r="D951" s="4"/>
      <c r="E951" s="114"/>
      <c r="F951" s="109"/>
      <c r="H951" s="1"/>
      <c r="I951" s="1"/>
      <c r="L951" s="110"/>
      <c r="M951" s="111"/>
      <c r="N951" s="112"/>
      <c r="O951" s="113"/>
      <c r="Q951" s="1"/>
      <c r="R951" s="1"/>
      <c r="S951" s="1"/>
      <c r="T951" s="1"/>
      <c r="U951" s="1"/>
      <c r="V951" s="1"/>
    </row>
    <row r="952">
      <c r="D952" s="4"/>
      <c r="E952" s="114"/>
      <c r="F952" s="109"/>
      <c r="H952" s="1"/>
      <c r="I952" s="1"/>
      <c r="L952" s="110"/>
      <c r="M952" s="111"/>
      <c r="N952" s="112"/>
      <c r="O952" s="113"/>
      <c r="Q952" s="1"/>
      <c r="R952" s="1"/>
      <c r="S952" s="1"/>
      <c r="T952" s="1"/>
      <c r="U952" s="1"/>
      <c r="V952" s="1"/>
    </row>
    <row r="953">
      <c r="D953" s="4"/>
      <c r="E953" s="114"/>
      <c r="F953" s="109"/>
      <c r="H953" s="1"/>
      <c r="I953" s="1"/>
      <c r="L953" s="110"/>
      <c r="M953" s="111"/>
      <c r="N953" s="112"/>
      <c r="O953" s="113"/>
      <c r="Q953" s="1"/>
      <c r="R953" s="1"/>
      <c r="S953" s="1"/>
      <c r="T953" s="1"/>
      <c r="U953" s="1"/>
      <c r="V953" s="1"/>
    </row>
    <row r="954">
      <c r="D954" s="4"/>
      <c r="E954" s="114"/>
      <c r="F954" s="109"/>
      <c r="H954" s="1"/>
      <c r="I954" s="1"/>
      <c r="L954" s="110"/>
      <c r="M954" s="111"/>
      <c r="N954" s="112"/>
      <c r="O954" s="113"/>
      <c r="Q954" s="1"/>
      <c r="R954" s="1"/>
      <c r="S954" s="1"/>
      <c r="T954" s="1"/>
      <c r="U954" s="1"/>
      <c r="V954" s="1"/>
    </row>
    <row r="955">
      <c r="D955" s="4"/>
      <c r="E955" s="114"/>
      <c r="F955" s="109"/>
      <c r="H955" s="1"/>
      <c r="I955" s="1"/>
      <c r="L955" s="110"/>
      <c r="M955" s="111"/>
      <c r="N955" s="112"/>
      <c r="O955" s="113"/>
      <c r="Q955" s="1"/>
      <c r="R955" s="1"/>
      <c r="S955" s="1"/>
      <c r="T955" s="1"/>
      <c r="U955" s="1"/>
      <c r="V955" s="1"/>
    </row>
    <row r="956">
      <c r="D956" s="4"/>
      <c r="E956" s="114"/>
      <c r="F956" s="109"/>
      <c r="H956" s="1"/>
      <c r="I956" s="1"/>
      <c r="L956" s="110"/>
      <c r="M956" s="111"/>
      <c r="N956" s="112"/>
      <c r="O956" s="113"/>
      <c r="Q956" s="1"/>
      <c r="R956" s="1"/>
      <c r="S956" s="1"/>
      <c r="T956" s="1"/>
      <c r="U956" s="1"/>
      <c r="V956" s="1"/>
    </row>
    <row r="957">
      <c r="D957" s="4"/>
      <c r="E957" s="114"/>
      <c r="F957" s="109"/>
      <c r="H957" s="1"/>
      <c r="I957" s="1"/>
      <c r="L957" s="110"/>
      <c r="M957" s="111"/>
      <c r="N957" s="112"/>
      <c r="O957" s="113"/>
      <c r="Q957" s="1"/>
      <c r="R957" s="1"/>
      <c r="S957" s="1"/>
      <c r="T957" s="1"/>
      <c r="U957" s="1"/>
      <c r="V957" s="1"/>
    </row>
    <row r="958">
      <c r="D958" s="4"/>
      <c r="E958" s="114"/>
      <c r="F958" s="109"/>
      <c r="H958" s="1"/>
      <c r="I958" s="1"/>
      <c r="L958" s="110"/>
      <c r="M958" s="111"/>
      <c r="N958" s="112"/>
      <c r="O958" s="113"/>
      <c r="Q958" s="1"/>
      <c r="R958" s="1"/>
      <c r="S958" s="1"/>
      <c r="T958" s="1"/>
      <c r="U958" s="1"/>
      <c r="V958" s="1"/>
    </row>
    <row r="959">
      <c r="D959" s="4"/>
      <c r="E959" s="114"/>
      <c r="F959" s="109"/>
      <c r="H959" s="1"/>
      <c r="I959" s="1"/>
      <c r="L959" s="110"/>
      <c r="M959" s="111"/>
      <c r="N959" s="112"/>
      <c r="O959" s="113"/>
      <c r="Q959" s="1"/>
      <c r="R959" s="1"/>
      <c r="S959" s="1"/>
      <c r="T959" s="1"/>
      <c r="U959" s="1"/>
      <c r="V959" s="1"/>
    </row>
    <row r="960">
      <c r="D960" s="4"/>
      <c r="E960" s="114"/>
      <c r="F960" s="109"/>
      <c r="H960" s="1"/>
      <c r="I960" s="1"/>
      <c r="L960" s="110"/>
      <c r="M960" s="111"/>
      <c r="N960" s="112"/>
      <c r="O960" s="113"/>
      <c r="Q960" s="1"/>
      <c r="R960" s="1"/>
      <c r="S960" s="1"/>
      <c r="T960" s="1"/>
      <c r="U960" s="1"/>
      <c r="V960" s="1"/>
    </row>
    <row r="961">
      <c r="D961" s="4"/>
      <c r="E961" s="114"/>
      <c r="F961" s="109"/>
      <c r="H961" s="1"/>
      <c r="I961" s="1"/>
      <c r="L961" s="110"/>
      <c r="M961" s="111"/>
      <c r="N961" s="112"/>
      <c r="O961" s="113"/>
      <c r="Q961" s="1"/>
      <c r="R961" s="1"/>
      <c r="S961" s="1"/>
      <c r="T961" s="1"/>
      <c r="U961" s="1"/>
      <c r="V961" s="1"/>
    </row>
    <row r="962">
      <c r="D962" s="4"/>
      <c r="E962" s="114"/>
      <c r="F962" s="109"/>
      <c r="H962" s="1"/>
      <c r="I962" s="1"/>
      <c r="L962" s="110"/>
      <c r="M962" s="111"/>
      <c r="N962" s="112"/>
      <c r="O962" s="113"/>
      <c r="Q962" s="1"/>
      <c r="R962" s="1"/>
      <c r="S962" s="1"/>
      <c r="T962" s="1"/>
      <c r="U962" s="1"/>
      <c r="V962" s="1"/>
    </row>
    <row r="963">
      <c r="D963" s="4"/>
      <c r="E963" s="114"/>
      <c r="F963" s="109"/>
      <c r="H963" s="1"/>
      <c r="I963" s="1"/>
      <c r="L963" s="110"/>
      <c r="M963" s="111"/>
      <c r="N963" s="112"/>
      <c r="O963" s="113"/>
      <c r="Q963" s="1"/>
      <c r="R963" s="1"/>
      <c r="S963" s="1"/>
      <c r="T963" s="1"/>
      <c r="U963" s="1"/>
      <c r="V963" s="1"/>
    </row>
    <row r="964">
      <c r="D964" s="4"/>
      <c r="E964" s="114"/>
      <c r="F964" s="109"/>
      <c r="H964" s="1"/>
      <c r="I964" s="1"/>
      <c r="L964" s="110"/>
      <c r="M964" s="111"/>
      <c r="N964" s="112"/>
      <c r="O964" s="113"/>
      <c r="Q964" s="1"/>
      <c r="R964" s="1"/>
      <c r="S964" s="1"/>
      <c r="T964" s="1"/>
      <c r="U964" s="1"/>
      <c r="V964" s="1"/>
    </row>
    <row r="965">
      <c r="D965" s="4"/>
      <c r="E965" s="114"/>
      <c r="F965" s="109"/>
      <c r="H965" s="1"/>
      <c r="I965" s="1"/>
      <c r="L965" s="110"/>
      <c r="M965" s="111"/>
      <c r="N965" s="112"/>
      <c r="O965" s="113"/>
      <c r="Q965" s="1"/>
      <c r="R965" s="1"/>
      <c r="S965" s="1"/>
      <c r="T965" s="1"/>
      <c r="U965" s="1"/>
      <c r="V965" s="1"/>
    </row>
    <row r="966">
      <c r="D966" s="4"/>
      <c r="E966" s="114"/>
      <c r="F966" s="109"/>
      <c r="H966" s="1"/>
      <c r="I966" s="1"/>
      <c r="L966" s="110"/>
      <c r="M966" s="111"/>
      <c r="N966" s="112"/>
      <c r="O966" s="113"/>
      <c r="Q966" s="1"/>
      <c r="R966" s="1"/>
      <c r="S966" s="1"/>
      <c r="T966" s="1"/>
      <c r="U966" s="1"/>
      <c r="V966" s="1"/>
    </row>
    <row r="967">
      <c r="D967" s="4"/>
      <c r="E967" s="114"/>
      <c r="F967" s="109"/>
      <c r="H967" s="1"/>
      <c r="I967" s="1"/>
      <c r="L967" s="110"/>
      <c r="M967" s="111"/>
      <c r="N967" s="112"/>
      <c r="O967" s="113"/>
      <c r="Q967" s="1"/>
      <c r="R967" s="1"/>
      <c r="S967" s="1"/>
      <c r="T967" s="1"/>
      <c r="U967" s="1"/>
      <c r="V967" s="1"/>
    </row>
    <row r="968">
      <c r="D968" s="4"/>
      <c r="E968" s="114"/>
      <c r="F968" s="109"/>
      <c r="H968" s="1"/>
      <c r="I968" s="1"/>
      <c r="L968" s="110"/>
      <c r="M968" s="111"/>
      <c r="N968" s="112"/>
      <c r="O968" s="113"/>
      <c r="Q968" s="1"/>
      <c r="R968" s="1"/>
      <c r="S968" s="1"/>
      <c r="T968" s="1"/>
      <c r="U968" s="1"/>
      <c r="V968" s="1"/>
    </row>
    <row r="969">
      <c r="D969" s="4"/>
      <c r="E969" s="114"/>
      <c r="F969" s="109"/>
      <c r="H969" s="1"/>
      <c r="I969" s="1"/>
      <c r="L969" s="110"/>
      <c r="M969" s="111"/>
      <c r="N969" s="112"/>
      <c r="O969" s="113"/>
      <c r="Q969" s="1"/>
      <c r="R969" s="1"/>
      <c r="S969" s="1"/>
      <c r="T969" s="1"/>
      <c r="U969" s="1"/>
      <c r="V969" s="1"/>
    </row>
    <row r="970">
      <c r="D970" s="4"/>
      <c r="E970" s="114"/>
      <c r="F970" s="109"/>
      <c r="H970" s="1"/>
      <c r="I970" s="1"/>
      <c r="L970" s="110"/>
      <c r="M970" s="111"/>
      <c r="N970" s="112"/>
      <c r="O970" s="113"/>
      <c r="Q970" s="1"/>
      <c r="R970" s="1"/>
      <c r="S970" s="1"/>
      <c r="T970" s="1"/>
      <c r="U970" s="1"/>
      <c r="V970" s="1"/>
    </row>
    <row r="971">
      <c r="D971" s="4"/>
      <c r="E971" s="114"/>
      <c r="F971" s="109"/>
      <c r="H971" s="1"/>
      <c r="I971" s="1"/>
      <c r="L971" s="110"/>
      <c r="M971" s="111"/>
      <c r="N971" s="112"/>
      <c r="O971" s="113"/>
      <c r="Q971" s="1"/>
      <c r="R971" s="1"/>
      <c r="S971" s="1"/>
      <c r="T971" s="1"/>
      <c r="U971" s="1"/>
      <c r="V971" s="1"/>
    </row>
    <row r="972">
      <c r="D972" s="4"/>
      <c r="E972" s="114"/>
      <c r="F972" s="109"/>
      <c r="H972" s="1"/>
      <c r="I972" s="1"/>
      <c r="L972" s="110"/>
      <c r="M972" s="111"/>
      <c r="N972" s="112"/>
      <c r="O972" s="113"/>
      <c r="Q972" s="1"/>
      <c r="R972" s="1"/>
      <c r="S972" s="1"/>
      <c r="T972" s="1"/>
      <c r="U972" s="1"/>
      <c r="V972" s="1"/>
    </row>
    <row r="973">
      <c r="D973" s="4"/>
      <c r="E973" s="114"/>
      <c r="F973" s="109"/>
      <c r="H973" s="1"/>
      <c r="I973" s="1"/>
      <c r="L973" s="110"/>
      <c r="M973" s="111"/>
      <c r="N973" s="112"/>
      <c r="O973" s="113"/>
      <c r="Q973" s="1"/>
      <c r="R973" s="1"/>
      <c r="S973" s="1"/>
      <c r="T973" s="1"/>
      <c r="U973" s="1"/>
      <c r="V973" s="1"/>
    </row>
    <row r="974">
      <c r="D974" s="4"/>
      <c r="E974" s="114"/>
      <c r="F974" s="109"/>
      <c r="H974" s="1"/>
      <c r="I974" s="1"/>
      <c r="L974" s="110"/>
      <c r="M974" s="111"/>
      <c r="N974" s="112"/>
      <c r="O974" s="113"/>
      <c r="Q974" s="1"/>
      <c r="R974" s="1"/>
      <c r="S974" s="1"/>
      <c r="T974" s="1"/>
      <c r="U974" s="1"/>
      <c r="V974" s="1"/>
    </row>
    <row r="975">
      <c r="D975" s="4"/>
      <c r="E975" s="114"/>
      <c r="F975" s="109"/>
      <c r="H975" s="1"/>
      <c r="I975" s="1"/>
      <c r="L975" s="110"/>
      <c r="M975" s="111"/>
      <c r="N975" s="112"/>
      <c r="O975" s="113"/>
      <c r="Q975" s="1"/>
      <c r="R975" s="1"/>
      <c r="S975" s="1"/>
      <c r="T975" s="1"/>
      <c r="U975" s="1"/>
      <c r="V975" s="1"/>
    </row>
    <row r="976">
      <c r="D976" s="4"/>
      <c r="E976" s="114"/>
      <c r="F976" s="109"/>
      <c r="H976" s="1"/>
      <c r="I976" s="1"/>
      <c r="L976" s="110"/>
      <c r="M976" s="111"/>
      <c r="N976" s="112"/>
      <c r="O976" s="113"/>
      <c r="Q976" s="1"/>
      <c r="R976" s="1"/>
      <c r="S976" s="1"/>
      <c r="T976" s="1"/>
      <c r="U976" s="1"/>
      <c r="V976" s="1"/>
    </row>
    <row r="977">
      <c r="D977" s="4"/>
      <c r="E977" s="114"/>
      <c r="F977" s="109"/>
      <c r="H977" s="1"/>
      <c r="I977" s="1"/>
      <c r="L977" s="110"/>
      <c r="M977" s="111"/>
      <c r="N977" s="112"/>
      <c r="O977" s="113"/>
      <c r="Q977" s="1"/>
      <c r="R977" s="1"/>
      <c r="S977" s="1"/>
      <c r="T977" s="1"/>
      <c r="U977" s="1"/>
      <c r="V977" s="1"/>
    </row>
    <row r="978">
      <c r="D978" s="4"/>
      <c r="E978" s="114"/>
      <c r="F978" s="109"/>
      <c r="H978" s="1"/>
      <c r="I978" s="1"/>
      <c r="L978" s="110"/>
      <c r="M978" s="111"/>
      <c r="N978" s="112"/>
      <c r="O978" s="113"/>
      <c r="Q978" s="1"/>
      <c r="R978" s="1"/>
      <c r="S978" s="1"/>
      <c r="T978" s="1"/>
      <c r="U978" s="1"/>
      <c r="V978" s="1"/>
    </row>
    <row r="979">
      <c r="D979" s="4"/>
      <c r="E979" s="114"/>
      <c r="F979" s="109"/>
      <c r="H979" s="1"/>
      <c r="I979" s="1"/>
      <c r="L979" s="110"/>
      <c r="M979" s="111"/>
      <c r="N979" s="112"/>
      <c r="O979" s="113"/>
      <c r="Q979" s="1"/>
      <c r="R979" s="1"/>
      <c r="S979" s="1"/>
      <c r="T979" s="1"/>
      <c r="U979" s="1"/>
      <c r="V979" s="1"/>
    </row>
    <row r="980">
      <c r="D980" s="4"/>
      <c r="E980" s="114"/>
      <c r="F980" s="109"/>
      <c r="H980" s="1"/>
      <c r="I980" s="1"/>
      <c r="L980" s="110"/>
      <c r="M980" s="111"/>
      <c r="N980" s="112"/>
      <c r="O980" s="113"/>
      <c r="Q980" s="1"/>
      <c r="R980" s="1"/>
      <c r="S980" s="1"/>
      <c r="T980" s="1"/>
      <c r="U980" s="1"/>
      <c r="V980" s="1"/>
    </row>
    <row r="981">
      <c r="D981" s="4"/>
      <c r="E981" s="114"/>
      <c r="F981" s="109"/>
      <c r="H981" s="1"/>
      <c r="I981" s="1"/>
      <c r="L981" s="110"/>
      <c r="M981" s="111"/>
      <c r="N981" s="112"/>
      <c r="O981" s="113"/>
      <c r="Q981" s="1"/>
      <c r="R981" s="1"/>
      <c r="S981" s="1"/>
      <c r="T981" s="1"/>
      <c r="U981" s="1"/>
      <c r="V981" s="1"/>
    </row>
    <row r="982">
      <c r="D982" s="4"/>
      <c r="E982" s="114"/>
      <c r="F982" s="109"/>
      <c r="H982" s="1"/>
      <c r="I982" s="1"/>
      <c r="L982" s="110"/>
      <c r="M982" s="111"/>
      <c r="N982" s="112"/>
      <c r="O982" s="113"/>
      <c r="Q982" s="1"/>
      <c r="R982" s="1"/>
      <c r="S982" s="1"/>
      <c r="T982" s="1"/>
      <c r="U982" s="1"/>
      <c r="V982" s="1"/>
    </row>
    <row r="983">
      <c r="D983" s="4"/>
      <c r="E983" s="114"/>
      <c r="F983" s="109"/>
      <c r="H983" s="1"/>
      <c r="I983" s="1"/>
      <c r="L983" s="110"/>
      <c r="M983" s="111"/>
      <c r="N983" s="112"/>
      <c r="O983" s="113"/>
      <c r="Q983" s="1"/>
      <c r="R983" s="1"/>
      <c r="S983" s="1"/>
      <c r="T983" s="1"/>
      <c r="U983" s="1"/>
      <c r="V983" s="1"/>
    </row>
    <row r="984">
      <c r="D984" s="4"/>
      <c r="E984" s="114"/>
      <c r="F984" s="109"/>
      <c r="H984" s="1"/>
      <c r="I984" s="1"/>
      <c r="L984" s="110"/>
      <c r="M984" s="111"/>
      <c r="N984" s="112"/>
      <c r="O984" s="113"/>
      <c r="Q984" s="1"/>
      <c r="R984" s="1"/>
      <c r="S984" s="1"/>
      <c r="T984" s="1"/>
      <c r="U984" s="1"/>
      <c r="V984" s="1"/>
    </row>
    <row r="985">
      <c r="D985" s="4"/>
      <c r="E985" s="114"/>
      <c r="F985" s="109"/>
      <c r="H985" s="1"/>
      <c r="I985" s="1"/>
      <c r="L985" s="110"/>
      <c r="M985" s="111"/>
      <c r="N985" s="112"/>
      <c r="O985" s="113"/>
      <c r="Q985" s="1"/>
      <c r="R985" s="1"/>
      <c r="S985" s="1"/>
      <c r="T985" s="1"/>
      <c r="U985" s="1"/>
      <c r="V985" s="1"/>
    </row>
    <row r="986">
      <c r="D986" s="4"/>
      <c r="E986" s="114"/>
      <c r="F986" s="109"/>
      <c r="H986" s="1"/>
      <c r="I986" s="1"/>
      <c r="L986" s="110"/>
      <c r="M986" s="111"/>
      <c r="N986" s="112"/>
      <c r="O986" s="113"/>
      <c r="Q986" s="1"/>
      <c r="R986" s="1"/>
      <c r="S986" s="1"/>
      <c r="T986" s="1"/>
      <c r="U986" s="1"/>
      <c r="V986" s="1"/>
    </row>
    <row r="987">
      <c r="D987" s="4"/>
      <c r="E987" s="114"/>
      <c r="F987" s="109"/>
      <c r="H987" s="1"/>
      <c r="I987" s="1"/>
      <c r="L987" s="110"/>
      <c r="M987" s="111"/>
      <c r="N987" s="112"/>
      <c r="O987" s="113"/>
      <c r="Q987" s="1"/>
      <c r="R987" s="1"/>
      <c r="S987" s="1"/>
      <c r="T987" s="1"/>
      <c r="U987" s="1"/>
      <c r="V987" s="1"/>
    </row>
    <row r="988">
      <c r="D988" s="4"/>
      <c r="E988" s="114"/>
      <c r="F988" s="109"/>
      <c r="H988" s="1"/>
      <c r="I988" s="1"/>
      <c r="L988" s="110"/>
      <c r="M988" s="111"/>
      <c r="N988" s="112"/>
      <c r="O988" s="113"/>
      <c r="Q988" s="1"/>
      <c r="R988" s="1"/>
      <c r="S988" s="1"/>
      <c r="T988" s="1"/>
      <c r="U988" s="1"/>
      <c r="V988" s="1"/>
    </row>
    <row r="989">
      <c r="D989" s="4"/>
      <c r="E989" s="114"/>
      <c r="F989" s="109"/>
      <c r="H989" s="1"/>
      <c r="I989" s="1"/>
      <c r="L989" s="110"/>
      <c r="M989" s="111"/>
      <c r="N989" s="112"/>
      <c r="O989" s="113"/>
      <c r="Q989" s="1"/>
      <c r="R989" s="1"/>
      <c r="S989" s="1"/>
      <c r="T989" s="1"/>
      <c r="U989" s="1"/>
      <c r="V989" s="1"/>
    </row>
    <row r="990">
      <c r="D990" s="4"/>
      <c r="E990" s="114"/>
      <c r="F990" s="109"/>
      <c r="H990" s="1"/>
      <c r="I990" s="1"/>
      <c r="L990" s="110"/>
      <c r="M990" s="111"/>
      <c r="N990" s="112"/>
      <c r="O990" s="113"/>
      <c r="Q990" s="1"/>
      <c r="R990" s="1"/>
      <c r="S990" s="1"/>
      <c r="T990" s="1"/>
      <c r="U990" s="1"/>
      <c r="V990" s="1"/>
    </row>
    <row r="991">
      <c r="D991" s="4"/>
      <c r="E991" s="114"/>
      <c r="F991" s="109"/>
      <c r="H991" s="1"/>
      <c r="I991" s="1"/>
      <c r="L991" s="110"/>
      <c r="M991" s="111"/>
      <c r="N991" s="112"/>
      <c r="O991" s="113"/>
      <c r="Q991" s="1"/>
      <c r="R991" s="1"/>
      <c r="S991" s="1"/>
      <c r="T991" s="1"/>
      <c r="U991" s="1"/>
      <c r="V991" s="1"/>
    </row>
    <row r="992">
      <c r="D992" s="4"/>
      <c r="E992" s="114"/>
      <c r="F992" s="109"/>
      <c r="H992" s="1"/>
      <c r="I992" s="1"/>
      <c r="L992" s="110"/>
      <c r="M992" s="111"/>
      <c r="N992" s="112"/>
      <c r="O992" s="113"/>
      <c r="Q992" s="1"/>
      <c r="R992" s="1"/>
      <c r="S992" s="1"/>
      <c r="T992" s="1"/>
      <c r="U992" s="1"/>
      <c r="V992" s="1"/>
    </row>
    <row r="993">
      <c r="D993" s="4"/>
      <c r="E993" s="114"/>
      <c r="F993" s="109"/>
      <c r="H993" s="1"/>
      <c r="I993" s="1"/>
      <c r="L993" s="110"/>
      <c r="M993" s="111"/>
      <c r="N993" s="112"/>
      <c r="O993" s="113"/>
      <c r="Q993" s="1"/>
      <c r="R993" s="1"/>
      <c r="S993" s="1"/>
      <c r="T993" s="1"/>
      <c r="U993" s="1"/>
      <c r="V993" s="1"/>
    </row>
    <row r="994">
      <c r="D994" s="4"/>
      <c r="E994" s="114"/>
      <c r="F994" s="109"/>
      <c r="H994" s="1"/>
      <c r="I994" s="1"/>
      <c r="L994" s="110"/>
      <c r="M994" s="111"/>
      <c r="N994" s="112"/>
      <c r="O994" s="113"/>
      <c r="Q994" s="1"/>
      <c r="R994" s="1"/>
      <c r="S994" s="1"/>
      <c r="T994" s="1"/>
      <c r="U994" s="1"/>
      <c r="V994" s="1"/>
    </row>
    <row r="995">
      <c r="D995" s="4"/>
      <c r="E995" s="114"/>
      <c r="F995" s="109"/>
      <c r="H995" s="1"/>
      <c r="I995" s="1"/>
      <c r="L995" s="110"/>
      <c r="M995" s="111"/>
      <c r="N995" s="112"/>
      <c r="O995" s="113"/>
      <c r="Q995" s="1"/>
      <c r="R995" s="1"/>
      <c r="S995" s="1"/>
      <c r="T995" s="1"/>
      <c r="U995" s="1"/>
      <c r="V995" s="1"/>
    </row>
    <row r="996">
      <c r="D996" s="4"/>
      <c r="E996" s="114"/>
      <c r="F996" s="109"/>
      <c r="H996" s="1"/>
      <c r="I996" s="1"/>
      <c r="L996" s="110"/>
      <c r="M996" s="111"/>
      <c r="N996" s="112"/>
      <c r="O996" s="113"/>
      <c r="Q996" s="1"/>
      <c r="R996" s="1"/>
      <c r="S996" s="1"/>
      <c r="T996" s="1"/>
      <c r="U996" s="1"/>
      <c r="V996" s="1"/>
    </row>
    <row r="997">
      <c r="D997" s="4"/>
      <c r="E997" s="114"/>
      <c r="F997" s="109"/>
      <c r="H997" s="1"/>
      <c r="I997" s="1"/>
      <c r="L997" s="110"/>
      <c r="M997" s="111"/>
      <c r="N997" s="112"/>
      <c r="O997" s="113"/>
      <c r="Q997" s="1"/>
      <c r="R997" s="1"/>
      <c r="S997" s="1"/>
      <c r="T997" s="1"/>
      <c r="U997" s="1"/>
      <c r="V997" s="1"/>
    </row>
    <row r="998">
      <c r="D998" s="4"/>
      <c r="E998" s="114"/>
      <c r="F998" s="109"/>
      <c r="H998" s="1"/>
      <c r="I998" s="1"/>
      <c r="L998" s="110"/>
      <c r="M998" s="111"/>
      <c r="N998" s="112"/>
      <c r="O998" s="113"/>
      <c r="Q998" s="1"/>
      <c r="R998" s="1"/>
      <c r="S998" s="1"/>
      <c r="T998" s="1"/>
      <c r="U998" s="1"/>
      <c r="V998" s="1"/>
    </row>
    <row r="999">
      <c r="D999" s="4"/>
      <c r="E999" s="114"/>
      <c r="F999" s="109"/>
      <c r="H999" s="1"/>
      <c r="I999" s="1"/>
      <c r="L999" s="110"/>
      <c r="M999" s="111"/>
      <c r="N999" s="112"/>
      <c r="O999" s="113"/>
      <c r="Q999" s="1"/>
      <c r="R999" s="1"/>
      <c r="S999" s="1"/>
      <c r="T999" s="1"/>
      <c r="U999" s="1"/>
      <c r="V999" s="1"/>
    </row>
    <row r="1000">
      <c r="D1000" s="4"/>
      <c r="E1000" s="114"/>
      <c r="F1000" s="109"/>
      <c r="H1000" s="1"/>
      <c r="I1000" s="1"/>
      <c r="L1000" s="110"/>
      <c r="M1000" s="111"/>
      <c r="N1000" s="112"/>
      <c r="O1000" s="113"/>
      <c r="Q1000" s="1"/>
      <c r="R1000" s="1"/>
      <c r="S1000" s="1"/>
      <c r="T1000" s="1"/>
      <c r="U1000" s="1"/>
      <c r="V1000" s="1"/>
    </row>
    <row r="1001">
      <c r="D1001" s="4"/>
      <c r="E1001" s="114"/>
      <c r="F1001" s="109"/>
      <c r="H1001" s="1"/>
      <c r="I1001" s="1"/>
      <c r="L1001" s="110"/>
      <c r="M1001" s="111"/>
      <c r="N1001" s="112"/>
      <c r="O1001" s="113"/>
      <c r="Q1001" s="1"/>
      <c r="R1001" s="1"/>
      <c r="S1001" s="1"/>
      <c r="T1001" s="1"/>
      <c r="U1001" s="1"/>
      <c r="V1001" s="1"/>
    </row>
    <row r="1002">
      <c r="D1002" s="4"/>
      <c r="E1002" s="114"/>
      <c r="F1002" s="109"/>
      <c r="H1002" s="1"/>
      <c r="I1002" s="1"/>
      <c r="L1002" s="110"/>
      <c r="M1002" s="111"/>
      <c r="N1002" s="112"/>
      <c r="O1002" s="113"/>
      <c r="Q1002" s="1"/>
      <c r="R1002" s="1"/>
      <c r="S1002" s="1"/>
      <c r="T1002" s="1"/>
      <c r="U1002" s="1"/>
      <c r="V1002" s="1"/>
    </row>
    <row r="1003">
      <c r="D1003" s="4"/>
      <c r="E1003" s="114"/>
      <c r="F1003" s="109"/>
      <c r="H1003" s="1"/>
      <c r="I1003" s="1"/>
      <c r="L1003" s="110"/>
      <c r="M1003" s="111"/>
      <c r="N1003" s="112"/>
      <c r="O1003" s="113"/>
      <c r="Q1003" s="1"/>
      <c r="R1003" s="1"/>
      <c r="S1003" s="1"/>
      <c r="T1003" s="1"/>
      <c r="U1003" s="1"/>
      <c r="V1003" s="1"/>
    </row>
    <row r="1004">
      <c r="D1004" s="4"/>
      <c r="E1004" s="114"/>
      <c r="F1004" s="109"/>
      <c r="H1004" s="1"/>
      <c r="I1004" s="1"/>
      <c r="L1004" s="110"/>
      <c r="M1004" s="111"/>
      <c r="N1004" s="112"/>
      <c r="O1004" s="113"/>
      <c r="Q1004" s="1"/>
      <c r="R1004" s="1"/>
      <c r="S1004" s="1"/>
      <c r="T1004" s="1"/>
      <c r="U1004" s="1"/>
      <c r="V1004" s="1"/>
    </row>
    <row r="1005">
      <c r="D1005" s="4"/>
      <c r="E1005" s="114"/>
      <c r="F1005" s="109"/>
      <c r="H1005" s="1"/>
      <c r="I1005" s="1"/>
      <c r="L1005" s="110"/>
      <c r="M1005" s="111"/>
      <c r="N1005" s="112"/>
      <c r="O1005" s="113"/>
      <c r="Q1005" s="1"/>
      <c r="R1005" s="1"/>
      <c r="S1005" s="1"/>
      <c r="T1005" s="1"/>
      <c r="U1005" s="1"/>
      <c r="V1005" s="1"/>
    </row>
    <row r="1006">
      <c r="D1006" s="4"/>
      <c r="E1006" s="114"/>
      <c r="F1006" s="109"/>
      <c r="H1006" s="1"/>
      <c r="I1006" s="1"/>
      <c r="L1006" s="110"/>
      <c r="M1006" s="111"/>
      <c r="N1006" s="112"/>
      <c r="O1006" s="113"/>
      <c r="Q1006" s="1"/>
      <c r="R1006" s="1"/>
      <c r="S1006" s="1"/>
      <c r="T1006" s="1"/>
      <c r="U1006" s="1"/>
      <c r="V1006" s="1"/>
    </row>
    <row r="1007">
      <c r="D1007" s="4"/>
      <c r="E1007" s="114"/>
      <c r="F1007" s="109"/>
      <c r="H1007" s="1"/>
      <c r="I1007" s="1"/>
      <c r="L1007" s="110"/>
      <c r="M1007" s="111"/>
      <c r="N1007" s="112"/>
      <c r="O1007" s="113"/>
      <c r="Q1007" s="1"/>
      <c r="R1007" s="1"/>
      <c r="S1007" s="1"/>
      <c r="T1007" s="1"/>
      <c r="U1007" s="1"/>
      <c r="V1007" s="1"/>
    </row>
    <row r="1008">
      <c r="D1008" s="4"/>
      <c r="E1008" s="114"/>
      <c r="F1008" s="109"/>
      <c r="H1008" s="1"/>
      <c r="I1008" s="1"/>
      <c r="L1008" s="110"/>
      <c r="M1008" s="111"/>
      <c r="N1008" s="112"/>
      <c r="O1008" s="113"/>
      <c r="Q1008" s="1"/>
      <c r="R1008" s="1"/>
      <c r="S1008" s="1"/>
      <c r="T1008" s="1"/>
      <c r="U1008" s="1"/>
      <c r="V1008" s="1"/>
    </row>
    <row r="1009">
      <c r="D1009" s="4"/>
      <c r="E1009" s="114"/>
      <c r="F1009" s="109"/>
      <c r="H1009" s="1"/>
      <c r="I1009" s="1"/>
      <c r="L1009" s="110"/>
      <c r="M1009" s="111"/>
      <c r="N1009" s="112"/>
      <c r="O1009" s="113"/>
      <c r="Q1009" s="1"/>
      <c r="R1009" s="1"/>
      <c r="S1009" s="1"/>
      <c r="T1009" s="1"/>
      <c r="U1009" s="1"/>
      <c r="V1009" s="1"/>
    </row>
    <row r="1010">
      <c r="D1010" s="4"/>
      <c r="E1010" s="114"/>
      <c r="F1010" s="109"/>
      <c r="H1010" s="1"/>
      <c r="I1010" s="1"/>
      <c r="L1010" s="110"/>
      <c r="M1010" s="111"/>
      <c r="N1010" s="112"/>
      <c r="O1010" s="113"/>
      <c r="Q1010" s="1"/>
      <c r="R1010" s="1"/>
      <c r="S1010" s="1"/>
      <c r="T1010" s="1"/>
      <c r="U1010" s="1"/>
      <c r="V1010" s="1"/>
    </row>
    <row r="1011">
      <c r="D1011" s="4"/>
      <c r="E1011" s="114"/>
      <c r="F1011" s="109"/>
      <c r="H1011" s="1"/>
      <c r="I1011" s="1"/>
      <c r="L1011" s="110"/>
      <c r="M1011" s="111"/>
      <c r="N1011" s="112"/>
      <c r="O1011" s="113"/>
      <c r="Q1011" s="1"/>
      <c r="R1011" s="1"/>
      <c r="S1011" s="1"/>
      <c r="T1011" s="1"/>
      <c r="U1011" s="1"/>
      <c r="V1011" s="1"/>
    </row>
    <row r="1012">
      <c r="D1012" s="4"/>
      <c r="E1012" s="114"/>
      <c r="F1012" s="109"/>
      <c r="H1012" s="1"/>
      <c r="I1012" s="1"/>
      <c r="L1012" s="110"/>
      <c r="M1012" s="111"/>
      <c r="N1012" s="112"/>
      <c r="O1012" s="113"/>
      <c r="Q1012" s="1"/>
      <c r="R1012" s="1"/>
      <c r="S1012" s="1"/>
      <c r="T1012" s="1"/>
      <c r="U1012" s="1"/>
      <c r="V1012" s="1"/>
    </row>
    <row r="1013">
      <c r="D1013" s="4"/>
      <c r="E1013" s="114"/>
      <c r="F1013" s="109"/>
      <c r="H1013" s="1"/>
      <c r="I1013" s="1"/>
      <c r="L1013" s="110"/>
      <c r="M1013" s="111"/>
      <c r="N1013" s="112"/>
      <c r="O1013" s="113"/>
      <c r="Q1013" s="1"/>
      <c r="R1013" s="1"/>
      <c r="S1013" s="1"/>
      <c r="T1013" s="1"/>
      <c r="U1013" s="1"/>
      <c r="V1013" s="1"/>
    </row>
    <row r="1014">
      <c r="D1014" s="4"/>
      <c r="E1014" s="114"/>
      <c r="F1014" s="109"/>
      <c r="H1014" s="1"/>
      <c r="I1014" s="1"/>
      <c r="L1014" s="110"/>
      <c r="M1014" s="111"/>
      <c r="N1014" s="112"/>
      <c r="O1014" s="113"/>
      <c r="Q1014" s="1"/>
      <c r="R1014" s="1"/>
      <c r="S1014" s="1"/>
      <c r="T1014" s="1"/>
      <c r="U1014" s="1"/>
      <c r="V1014" s="1"/>
    </row>
    <row r="1015">
      <c r="D1015" s="4"/>
      <c r="E1015" s="114"/>
      <c r="F1015" s="109"/>
      <c r="H1015" s="1"/>
      <c r="I1015" s="1"/>
      <c r="L1015" s="110"/>
      <c r="M1015" s="111"/>
      <c r="N1015" s="112"/>
      <c r="O1015" s="113"/>
      <c r="Q1015" s="1"/>
      <c r="R1015" s="1"/>
      <c r="S1015" s="1"/>
      <c r="T1015" s="1"/>
      <c r="U1015" s="1"/>
      <c r="V1015" s="1"/>
    </row>
    <row r="1016">
      <c r="D1016" s="4"/>
      <c r="E1016" s="114"/>
      <c r="F1016" s="109"/>
      <c r="H1016" s="1"/>
      <c r="I1016" s="1"/>
      <c r="L1016" s="110"/>
      <c r="M1016" s="111"/>
      <c r="N1016" s="112"/>
      <c r="O1016" s="113"/>
      <c r="Q1016" s="1"/>
      <c r="R1016" s="1"/>
      <c r="S1016" s="1"/>
      <c r="T1016" s="1"/>
      <c r="U1016" s="1"/>
      <c r="V1016" s="1"/>
    </row>
    <row r="1017">
      <c r="D1017" s="4"/>
      <c r="E1017" s="114"/>
      <c r="F1017" s="109"/>
      <c r="H1017" s="1"/>
      <c r="I1017" s="1"/>
      <c r="L1017" s="110"/>
      <c r="M1017" s="111"/>
      <c r="N1017" s="112"/>
      <c r="O1017" s="113"/>
      <c r="Q1017" s="1"/>
      <c r="R1017" s="1"/>
      <c r="S1017" s="1"/>
      <c r="T1017" s="1"/>
      <c r="U1017" s="1"/>
      <c r="V1017" s="1"/>
    </row>
    <row r="1018">
      <c r="D1018" s="4"/>
      <c r="E1018" s="114"/>
      <c r="F1018" s="109"/>
      <c r="H1018" s="1"/>
      <c r="I1018" s="1"/>
      <c r="L1018" s="110"/>
      <c r="M1018" s="111"/>
      <c r="N1018" s="112"/>
      <c r="O1018" s="113"/>
      <c r="Q1018" s="1"/>
      <c r="R1018" s="1"/>
      <c r="S1018" s="1"/>
      <c r="T1018" s="1"/>
      <c r="U1018" s="1"/>
      <c r="V1018" s="1"/>
    </row>
    <row r="1019">
      <c r="D1019" s="4"/>
      <c r="E1019" s="114"/>
      <c r="F1019" s="109"/>
      <c r="H1019" s="1"/>
      <c r="I1019" s="1"/>
      <c r="L1019" s="110"/>
      <c r="M1019" s="111"/>
      <c r="N1019" s="112"/>
      <c r="O1019" s="113"/>
      <c r="Q1019" s="1"/>
      <c r="R1019" s="1"/>
      <c r="S1019" s="1"/>
      <c r="T1019" s="1"/>
      <c r="U1019" s="1"/>
      <c r="V1019" s="1"/>
    </row>
    <row r="1020">
      <c r="D1020" s="4"/>
      <c r="E1020" s="114"/>
      <c r="F1020" s="109"/>
      <c r="H1020" s="1"/>
      <c r="I1020" s="1"/>
      <c r="L1020" s="110"/>
      <c r="M1020" s="111"/>
      <c r="N1020" s="112"/>
      <c r="O1020" s="113"/>
      <c r="Q1020" s="1"/>
      <c r="R1020" s="1"/>
      <c r="S1020" s="1"/>
      <c r="T1020" s="1"/>
      <c r="U1020" s="1"/>
      <c r="V1020" s="1"/>
    </row>
    <row r="1021">
      <c r="D1021" s="4"/>
      <c r="E1021" s="114"/>
      <c r="F1021" s="109"/>
      <c r="H1021" s="1"/>
      <c r="I1021" s="1"/>
      <c r="L1021" s="110"/>
      <c r="M1021" s="111"/>
      <c r="N1021" s="112"/>
      <c r="O1021" s="113"/>
      <c r="Q1021" s="1"/>
      <c r="R1021" s="1"/>
      <c r="S1021" s="1"/>
      <c r="T1021" s="1"/>
      <c r="U1021" s="1"/>
      <c r="V1021" s="1"/>
    </row>
    <row r="1022">
      <c r="D1022" s="4"/>
      <c r="E1022" s="114"/>
      <c r="F1022" s="109"/>
      <c r="H1022" s="1"/>
      <c r="I1022" s="1"/>
      <c r="L1022" s="110"/>
      <c r="M1022" s="111"/>
      <c r="N1022" s="112"/>
      <c r="O1022" s="113"/>
      <c r="Q1022" s="1"/>
      <c r="R1022" s="1"/>
      <c r="S1022" s="1"/>
      <c r="T1022" s="1"/>
      <c r="U1022" s="1"/>
      <c r="V1022" s="1"/>
    </row>
    <row r="1023">
      <c r="D1023" s="4"/>
      <c r="E1023" s="114"/>
      <c r="F1023" s="109"/>
      <c r="H1023" s="1"/>
      <c r="I1023" s="1"/>
      <c r="L1023" s="110"/>
      <c r="M1023" s="111"/>
      <c r="N1023" s="112"/>
      <c r="O1023" s="113"/>
      <c r="Q1023" s="1"/>
      <c r="R1023" s="1"/>
      <c r="S1023" s="1"/>
      <c r="T1023" s="1"/>
      <c r="U1023" s="1"/>
      <c r="V1023" s="1"/>
    </row>
    <row r="1024">
      <c r="D1024" s="4"/>
      <c r="E1024" s="114"/>
      <c r="F1024" s="109"/>
      <c r="H1024" s="1"/>
      <c r="I1024" s="1"/>
      <c r="L1024" s="110"/>
      <c r="M1024" s="111"/>
      <c r="N1024" s="112"/>
      <c r="O1024" s="113"/>
      <c r="Q1024" s="1"/>
      <c r="R1024" s="1"/>
      <c r="S1024" s="1"/>
      <c r="T1024" s="1"/>
      <c r="U1024" s="1"/>
      <c r="V1024" s="1"/>
    </row>
    <row r="1025">
      <c r="D1025" s="4"/>
      <c r="E1025" s="114"/>
      <c r="F1025" s="109"/>
      <c r="H1025" s="1"/>
      <c r="I1025" s="1"/>
      <c r="L1025" s="110"/>
      <c r="M1025" s="111"/>
      <c r="N1025" s="112"/>
      <c r="O1025" s="113"/>
      <c r="Q1025" s="1"/>
      <c r="R1025" s="1"/>
      <c r="S1025" s="1"/>
      <c r="T1025" s="1"/>
      <c r="U1025" s="1"/>
      <c r="V1025" s="1"/>
    </row>
    <row r="1026">
      <c r="D1026" s="4"/>
      <c r="E1026" s="114"/>
      <c r="F1026" s="109"/>
      <c r="H1026" s="1"/>
      <c r="I1026" s="1"/>
      <c r="L1026" s="110"/>
      <c r="M1026" s="111"/>
      <c r="N1026" s="112"/>
      <c r="O1026" s="113"/>
      <c r="Q1026" s="1"/>
      <c r="R1026" s="1"/>
      <c r="S1026" s="1"/>
      <c r="T1026" s="1"/>
      <c r="U1026" s="1"/>
      <c r="V1026" s="1"/>
    </row>
    <row r="1027">
      <c r="D1027" s="4"/>
      <c r="E1027" s="114"/>
      <c r="F1027" s="109"/>
      <c r="H1027" s="1"/>
      <c r="I1027" s="1"/>
      <c r="L1027" s="110"/>
      <c r="M1027" s="111"/>
      <c r="N1027" s="112"/>
      <c r="O1027" s="113"/>
      <c r="Q1027" s="1"/>
      <c r="R1027" s="1"/>
      <c r="S1027" s="1"/>
      <c r="T1027" s="1"/>
      <c r="U1027" s="1"/>
      <c r="V1027" s="1"/>
    </row>
    <row r="1028">
      <c r="D1028" s="4"/>
      <c r="E1028" s="114"/>
      <c r="F1028" s="109"/>
      <c r="H1028" s="1"/>
      <c r="I1028" s="1"/>
      <c r="L1028" s="110"/>
      <c r="M1028" s="111"/>
      <c r="N1028" s="112"/>
      <c r="O1028" s="113"/>
      <c r="Q1028" s="1"/>
      <c r="R1028" s="1"/>
      <c r="S1028" s="1"/>
      <c r="T1028" s="1"/>
      <c r="U1028" s="1"/>
      <c r="V1028" s="1"/>
    </row>
    <row r="1029">
      <c r="D1029" s="4"/>
      <c r="E1029" s="114"/>
      <c r="F1029" s="109"/>
      <c r="H1029" s="1"/>
      <c r="I1029" s="1"/>
      <c r="L1029" s="110"/>
      <c r="M1029" s="111"/>
      <c r="N1029" s="112"/>
      <c r="O1029" s="113"/>
      <c r="Q1029" s="1"/>
      <c r="R1029" s="1"/>
      <c r="S1029" s="1"/>
      <c r="T1029" s="1"/>
      <c r="U1029" s="1"/>
      <c r="V1029" s="1"/>
    </row>
    <row r="1030">
      <c r="D1030" s="4"/>
      <c r="E1030" s="114"/>
      <c r="F1030" s="109"/>
      <c r="H1030" s="1"/>
      <c r="I1030" s="1"/>
      <c r="L1030" s="110"/>
      <c r="M1030" s="111"/>
      <c r="N1030" s="112"/>
      <c r="O1030" s="113"/>
      <c r="Q1030" s="1"/>
      <c r="R1030" s="1"/>
      <c r="S1030" s="1"/>
      <c r="T1030" s="1"/>
      <c r="U1030" s="1"/>
      <c r="V1030" s="1"/>
    </row>
    <row r="1031">
      <c r="D1031" s="4"/>
      <c r="E1031" s="114"/>
      <c r="F1031" s="109"/>
      <c r="H1031" s="1"/>
      <c r="I1031" s="1"/>
      <c r="L1031" s="110"/>
      <c r="M1031" s="111"/>
      <c r="N1031" s="112"/>
      <c r="O1031" s="113"/>
      <c r="Q1031" s="1"/>
      <c r="R1031" s="1"/>
      <c r="S1031" s="1"/>
      <c r="T1031" s="1"/>
      <c r="U1031" s="1"/>
      <c r="V1031" s="1"/>
    </row>
    <row r="1032">
      <c r="D1032" s="4"/>
      <c r="E1032" s="114"/>
      <c r="F1032" s="109"/>
      <c r="H1032" s="1"/>
      <c r="I1032" s="1"/>
      <c r="L1032" s="110"/>
      <c r="M1032" s="111"/>
      <c r="N1032" s="112"/>
      <c r="O1032" s="113"/>
      <c r="Q1032" s="1"/>
      <c r="R1032" s="1"/>
      <c r="S1032" s="1"/>
      <c r="T1032" s="1"/>
      <c r="U1032" s="1"/>
      <c r="V1032" s="1"/>
    </row>
    <row r="1033">
      <c r="D1033" s="4"/>
      <c r="E1033" s="114"/>
      <c r="F1033" s="109"/>
      <c r="H1033" s="1"/>
      <c r="I1033" s="1"/>
      <c r="L1033" s="110"/>
      <c r="M1033" s="111"/>
      <c r="N1033" s="112"/>
      <c r="O1033" s="113"/>
      <c r="Q1033" s="1"/>
      <c r="R1033" s="1"/>
      <c r="S1033" s="1"/>
      <c r="T1033" s="1"/>
      <c r="U1033" s="1"/>
      <c r="V1033" s="1"/>
    </row>
    <row r="1034">
      <c r="D1034" s="4"/>
      <c r="E1034" s="114"/>
      <c r="F1034" s="109"/>
      <c r="H1034" s="1"/>
      <c r="I1034" s="1"/>
      <c r="L1034" s="110"/>
      <c r="M1034" s="111"/>
      <c r="N1034" s="112"/>
      <c r="O1034" s="113"/>
      <c r="Q1034" s="1"/>
      <c r="R1034" s="1"/>
      <c r="S1034" s="1"/>
      <c r="T1034" s="1"/>
      <c r="U1034" s="1"/>
      <c r="V1034" s="1"/>
    </row>
    <row r="1035">
      <c r="D1035" s="4"/>
      <c r="E1035" s="114"/>
      <c r="F1035" s="109"/>
      <c r="H1035" s="1"/>
      <c r="I1035" s="1"/>
      <c r="L1035" s="110"/>
      <c r="M1035" s="111"/>
      <c r="N1035" s="112"/>
      <c r="O1035" s="113"/>
      <c r="Q1035" s="1"/>
      <c r="R1035" s="1"/>
      <c r="S1035" s="1"/>
      <c r="T1035" s="1"/>
      <c r="U1035" s="1"/>
      <c r="V1035" s="1"/>
    </row>
    <row r="1036">
      <c r="D1036" s="4"/>
      <c r="E1036" s="114"/>
      <c r="F1036" s="109"/>
      <c r="H1036" s="1"/>
      <c r="I1036" s="1"/>
      <c r="L1036" s="110"/>
      <c r="M1036" s="111"/>
      <c r="N1036" s="112"/>
      <c r="O1036" s="113"/>
      <c r="Q1036" s="1"/>
      <c r="R1036" s="1"/>
      <c r="S1036" s="1"/>
      <c r="T1036" s="1"/>
      <c r="U1036" s="1"/>
      <c r="V1036" s="1"/>
    </row>
    <row r="1037">
      <c r="D1037" s="4"/>
      <c r="E1037" s="114"/>
      <c r="F1037" s="109"/>
      <c r="H1037" s="1"/>
      <c r="I1037" s="1"/>
      <c r="L1037" s="110"/>
      <c r="M1037" s="111"/>
      <c r="N1037" s="112"/>
      <c r="O1037" s="113"/>
      <c r="Q1037" s="1"/>
      <c r="R1037" s="1"/>
      <c r="S1037" s="1"/>
      <c r="T1037" s="1"/>
      <c r="U1037" s="1"/>
      <c r="V1037" s="1"/>
    </row>
    <row r="1038">
      <c r="D1038" s="4"/>
      <c r="E1038" s="114"/>
      <c r="F1038" s="109"/>
      <c r="H1038" s="1"/>
      <c r="I1038" s="1"/>
      <c r="L1038" s="110"/>
      <c r="M1038" s="111"/>
      <c r="N1038" s="112"/>
      <c r="O1038" s="113"/>
      <c r="Q1038" s="1"/>
      <c r="R1038" s="1"/>
      <c r="S1038" s="1"/>
      <c r="T1038" s="1"/>
      <c r="U1038" s="1"/>
      <c r="V1038" s="1"/>
    </row>
    <row r="1039">
      <c r="D1039" s="4"/>
      <c r="E1039" s="114"/>
      <c r="F1039" s="109"/>
      <c r="H1039" s="1"/>
      <c r="I1039" s="1"/>
      <c r="L1039" s="110"/>
      <c r="M1039" s="111"/>
      <c r="N1039" s="112"/>
      <c r="O1039" s="113"/>
      <c r="Q1039" s="1"/>
      <c r="R1039" s="1"/>
      <c r="S1039" s="1"/>
      <c r="T1039" s="1"/>
      <c r="U1039" s="1"/>
      <c r="V1039" s="1"/>
    </row>
    <row r="1040">
      <c r="D1040" s="4"/>
      <c r="E1040" s="114"/>
      <c r="F1040" s="109"/>
      <c r="H1040" s="1"/>
      <c r="I1040" s="1"/>
      <c r="L1040" s="110"/>
      <c r="M1040" s="111"/>
      <c r="N1040" s="112"/>
      <c r="O1040" s="113"/>
      <c r="Q1040" s="1"/>
      <c r="R1040" s="1"/>
      <c r="S1040" s="1"/>
      <c r="T1040" s="1"/>
      <c r="U1040" s="1"/>
      <c r="V1040" s="1"/>
    </row>
    <row r="1041">
      <c r="D1041" s="4"/>
      <c r="E1041" s="114"/>
      <c r="F1041" s="109"/>
      <c r="H1041" s="1"/>
      <c r="I1041" s="1"/>
      <c r="L1041" s="110"/>
      <c r="M1041" s="111"/>
      <c r="N1041" s="112"/>
      <c r="O1041" s="113"/>
      <c r="Q1041" s="1"/>
      <c r="R1041" s="1"/>
      <c r="S1041" s="1"/>
      <c r="T1041" s="1"/>
      <c r="U1041" s="1"/>
      <c r="V1041" s="1"/>
    </row>
    <row r="1042">
      <c r="D1042" s="4"/>
      <c r="E1042" s="114"/>
      <c r="F1042" s="109"/>
      <c r="H1042" s="1"/>
      <c r="I1042" s="1"/>
      <c r="L1042" s="110"/>
      <c r="M1042" s="111"/>
      <c r="N1042" s="112"/>
      <c r="O1042" s="113"/>
      <c r="Q1042" s="1"/>
      <c r="R1042" s="1"/>
      <c r="S1042" s="1"/>
      <c r="T1042" s="1"/>
      <c r="U1042" s="1"/>
      <c r="V1042" s="1"/>
    </row>
    <row r="1043">
      <c r="D1043" s="4"/>
      <c r="E1043" s="114"/>
      <c r="F1043" s="109"/>
      <c r="H1043" s="1"/>
      <c r="I1043" s="1"/>
      <c r="L1043" s="110"/>
      <c r="M1043" s="111"/>
      <c r="N1043" s="112"/>
      <c r="O1043" s="113"/>
      <c r="Q1043" s="1"/>
      <c r="R1043" s="1"/>
      <c r="S1043" s="1"/>
      <c r="T1043" s="1"/>
      <c r="U1043" s="1"/>
      <c r="V1043" s="1"/>
    </row>
    <row r="1044">
      <c r="D1044" s="4"/>
      <c r="E1044" s="114"/>
      <c r="F1044" s="109"/>
      <c r="H1044" s="1"/>
      <c r="I1044" s="1"/>
      <c r="L1044" s="110"/>
      <c r="M1044" s="111"/>
      <c r="N1044" s="112"/>
      <c r="O1044" s="113"/>
      <c r="Q1044" s="1"/>
      <c r="R1044" s="1"/>
      <c r="S1044" s="1"/>
      <c r="T1044" s="1"/>
      <c r="U1044" s="1"/>
      <c r="V1044" s="1"/>
    </row>
    <row r="1045">
      <c r="D1045" s="4"/>
      <c r="E1045" s="114"/>
      <c r="F1045" s="109"/>
      <c r="H1045" s="1"/>
      <c r="I1045" s="1"/>
      <c r="L1045" s="110"/>
      <c r="M1045" s="111"/>
      <c r="N1045" s="112"/>
      <c r="O1045" s="113"/>
      <c r="Q1045" s="1"/>
      <c r="R1045" s="1"/>
      <c r="S1045" s="1"/>
      <c r="T1045" s="1"/>
      <c r="U1045" s="1"/>
      <c r="V1045" s="1"/>
    </row>
    <row r="1046">
      <c r="D1046" s="4"/>
      <c r="E1046" s="114"/>
      <c r="F1046" s="109"/>
      <c r="H1046" s="1"/>
      <c r="I1046" s="1"/>
      <c r="L1046" s="110"/>
      <c r="M1046" s="111"/>
      <c r="N1046" s="112"/>
      <c r="O1046" s="113"/>
      <c r="Q1046" s="1"/>
      <c r="R1046" s="1"/>
      <c r="S1046" s="1"/>
      <c r="T1046" s="1"/>
      <c r="U1046" s="1"/>
      <c r="V1046" s="1"/>
    </row>
    <row r="1047">
      <c r="D1047" s="4"/>
      <c r="E1047" s="114"/>
      <c r="F1047" s="109"/>
      <c r="H1047" s="1"/>
      <c r="I1047" s="1"/>
      <c r="L1047" s="110"/>
      <c r="M1047" s="111"/>
      <c r="N1047" s="112"/>
      <c r="O1047" s="113"/>
      <c r="Q1047" s="1"/>
      <c r="R1047" s="1"/>
      <c r="S1047" s="1"/>
      <c r="T1047" s="1"/>
      <c r="U1047" s="1"/>
      <c r="V1047" s="1"/>
    </row>
    <row r="1048">
      <c r="D1048" s="4"/>
      <c r="E1048" s="114"/>
      <c r="F1048" s="109"/>
      <c r="H1048" s="1"/>
      <c r="I1048" s="1"/>
      <c r="L1048" s="110"/>
      <c r="M1048" s="111"/>
      <c r="N1048" s="112"/>
      <c r="O1048" s="113"/>
      <c r="Q1048" s="1"/>
      <c r="R1048" s="1"/>
      <c r="S1048" s="1"/>
      <c r="T1048" s="1"/>
      <c r="U1048" s="1"/>
      <c r="V1048" s="1"/>
    </row>
  </sheetData>
  <conditionalFormatting sqref="U91:U93 U99">
    <cfRule type="containsText" dxfId="0" priority="1" operator="containsText" text="6700">
      <formula>NOT(ISERROR(SEARCH(("6700"),(U91))))</formula>
    </cfRule>
  </conditionalFormatting>
  <conditionalFormatting sqref="U91:U93 U99">
    <cfRule type="containsText" dxfId="0" priority="2" operator="containsText" text="10000">
      <formula>NOT(ISERROR(SEARCH(("10000"),(U91))))</formula>
    </cfRule>
  </conditionalFormatting>
  <conditionalFormatting sqref="U91:U93 U99">
    <cfRule type="containsText" dxfId="0" priority="3" operator="containsText" text="6700">
      <formula>NOT(ISERROR(SEARCH(("6700"),(U91))))</formula>
    </cfRule>
  </conditionalFormatting>
  <conditionalFormatting sqref="U91:U93 U99">
    <cfRule type="containsText" dxfId="0" priority="4" operator="containsText" text="15600">
      <formula>NOT(ISERROR(SEARCH(("15600"),(U91))))</formula>
    </cfRule>
  </conditionalFormatting>
  <conditionalFormatting sqref="U91:U93 U99">
    <cfRule type="containsText" dxfId="0" priority="5" operator="containsText" text="6700">
      <formula>NOT(ISERROR(SEARCH(("6700"),(U91))))</formula>
    </cfRule>
  </conditionalFormatting>
  <conditionalFormatting sqref="U91:U93 U99">
    <cfRule type="containsText" dxfId="0" priority="6" operator="containsText" text="15600">
      <formula>NOT(ISERROR(SEARCH(("15600"),(U91))))</formula>
    </cfRule>
  </conditionalFormatting>
  <conditionalFormatting sqref="U91:U93 U99">
    <cfRule type="containsText" dxfId="0" priority="7" operator="containsText" text="15600">
      <formula>NOT(ISERROR(SEARCH(("15600"),(U91))))</formula>
    </cfRule>
  </conditionalFormatting>
  <conditionalFormatting sqref="U108">
    <cfRule type="containsText" dxfId="0" priority="8" operator="containsText" text="6700">
      <formula>NOT(ISERROR(SEARCH(("6700"),(U108))))</formula>
    </cfRule>
  </conditionalFormatting>
  <conditionalFormatting sqref="U108">
    <cfRule type="containsText" dxfId="0" priority="9" operator="containsText" text="6700">
      <formula>NOT(ISERROR(SEARCH(("6700"),(U108))))</formula>
    </cfRule>
  </conditionalFormatting>
  <conditionalFormatting sqref="U108">
    <cfRule type="containsText" dxfId="0" priority="10" operator="containsText" text="15600">
      <formula>NOT(ISERROR(SEARCH(("15600"),(U108))))</formula>
    </cfRule>
  </conditionalFormatting>
  <conditionalFormatting sqref="U108">
    <cfRule type="containsText" dxfId="0" priority="11" operator="containsText" text="15600">
      <formula>NOT(ISERROR(SEARCH(("15600"),(U108))))</formula>
    </cfRule>
  </conditionalFormatting>
  <conditionalFormatting sqref="U108">
    <cfRule type="containsText" dxfId="0" priority="12" operator="containsText" text="6700">
      <formula>NOT(ISERROR(SEARCH(("6700"),(U108))))</formula>
    </cfRule>
  </conditionalFormatting>
  <conditionalFormatting sqref="U108">
    <cfRule type="containsText" dxfId="0" priority="13" operator="containsText" text="15600">
      <formula>NOT(ISERROR(SEARCH(("15600"),(U108))))</formula>
    </cfRule>
  </conditionalFormatting>
  <conditionalFormatting sqref="U108">
    <cfRule type="containsText" dxfId="0" priority="14" operator="containsText" text="6700">
      <formula>NOT(ISERROR(SEARCH(("6700"),(U108))))</formula>
    </cfRule>
  </conditionalFormatting>
  <conditionalFormatting sqref="U108">
    <cfRule type="containsText" dxfId="0" priority="15" operator="containsText" text="6700">
      <formula>NOT(ISERROR(SEARCH(("6700"),(U108))))</formula>
    </cfRule>
  </conditionalFormatting>
  <conditionalFormatting sqref="U108">
    <cfRule type="containsText" dxfId="0" priority="16" operator="containsText" text="6700">
      <formula>NOT(ISERROR(SEARCH(("6700"),(U108))))</formula>
    </cfRule>
  </conditionalFormatting>
  <conditionalFormatting sqref="U108">
    <cfRule type="containsText" dxfId="0" priority="17" operator="containsText" text="15600">
      <formula>NOT(ISERROR(SEARCH(("15600"),(U108))))</formula>
    </cfRule>
  </conditionalFormatting>
  <conditionalFormatting sqref="S108 U108">
    <cfRule type="containsText" dxfId="0" priority="18" operator="containsText" text="10000">
      <formula>NOT(ISERROR(SEARCH(("10000"),(S108))))</formula>
    </cfRule>
  </conditionalFormatting>
  <conditionalFormatting sqref="S108 U108">
    <cfRule type="containsText" dxfId="0" priority="19" operator="containsText" text="7500">
      <formula>NOT(ISERROR(SEARCH(("7500"),(S108))))</formula>
    </cfRule>
  </conditionalFormatting>
  <conditionalFormatting sqref="S108 U108">
    <cfRule type="containsText" dxfId="0" priority="20" operator="containsText" text="6700">
      <formula>NOT(ISERROR(SEARCH(("6700"),(S108))))</formula>
    </cfRule>
  </conditionalFormatting>
  <conditionalFormatting sqref="S108 U108">
    <cfRule type="containsText" dxfId="0" priority="21" operator="containsText" text="3000">
      <formula>NOT(ISERROR(SEARCH(("3000"),(S108))))</formula>
    </cfRule>
  </conditionalFormatting>
  <conditionalFormatting sqref="S108 U108">
    <cfRule type="containsText" dxfId="0" priority="22" operator="containsText" text="6700">
      <formula>NOT(ISERROR(SEARCH(("6700"),(S108))))</formula>
    </cfRule>
  </conditionalFormatting>
  <conditionalFormatting sqref="U108">
    <cfRule type="containsText" dxfId="0" priority="23" operator="containsText" text="15600">
      <formula>NOT(ISERROR(SEARCH(("15600"),(U108))))</formula>
    </cfRule>
  </conditionalFormatting>
  <conditionalFormatting sqref="S99 U99 U118:U119">
    <cfRule type="containsText" dxfId="0" priority="24" operator="containsText" text="7500">
      <formula>NOT(ISERROR(SEARCH(("7500"),(S99))))</formula>
    </cfRule>
  </conditionalFormatting>
  <conditionalFormatting sqref="S99 U99">
    <cfRule type="containsText" dxfId="0" priority="25" operator="containsText" text="10000">
      <formula>NOT(ISERROR(SEARCH(("10000"),(S99))))</formula>
    </cfRule>
  </conditionalFormatting>
  <conditionalFormatting sqref="S99 U99">
    <cfRule type="containsText" dxfId="0" priority="26" operator="containsText" text="6700">
      <formula>NOT(ISERROR(SEARCH(("6700"),(S99))))</formula>
    </cfRule>
  </conditionalFormatting>
  <conditionalFormatting sqref="S99 U99">
    <cfRule type="containsText" dxfId="0" priority="27" operator="containsText" text="6700">
      <formula>NOT(ISERROR(SEARCH(("6700"),(S99))))</formula>
    </cfRule>
  </conditionalFormatting>
  <conditionalFormatting sqref="U99 U118:U119">
    <cfRule type="containsText" dxfId="0" priority="28" operator="containsText" text="3000">
      <formula>NOT(ISERROR(SEARCH(("3000"),(U99))))</formula>
    </cfRule>
  </conditionalFormatting>
  <conditionalFormatting sqref="S99 U99">
    <cfRule type="containsText" dxfId="0" priority="29" operator="containsText" text="15600">
      <formula>NOT(ISERROR(SEARCH(("15600"),(S99))))</formula>
    </cfRule>
  </conditionalFormatting>
  <conditionalFormatting sqref="U99">
    <cfRule type="containsText" dxfId="0" priority="30" operator="containsText" text="6700">
      <formula>NOT(ISERROR(SEARCH(("6700"),(U99))))</formula>
    </cfRule>
  </conditionalFormatting>
  <conditionalFormatting sqref="S99 U99">
    <cfRule type="containsText" dxfId="0" priority="31" operator="containsText" text="15600">
      <formula>NOT(ISERROR(SEARCH(("15600"),(S99))))</formula>
    </cfRule>
  </conditionalFormatting>
  <conditionalFormatting sqref="S108">
    <cfRule type="containsText" dxfId="0" priority="32" operator="containsText" text="3000">
      <formula>NOT(ISERROR(SEARCH(("3000"),(S108))))</formula>
    </cfRule>
  </conditionalFormatting>
  <conditionalFormatting sqref="S108">
    <cfRule type="containsText" dxfId="0" priority="33" operator="containsText" text="15600">
      <formula>NOT(ISERROR(SEARCH(("15600"),(S108))))</formula>
    </cfRule>
  </conditionalFormatting>
  <conditionalFormatting sqref="S108">
    <cfRule type="containsText" dxfId="0" priority="34" operator="containsText" text="6700">
      <formula>NOT(ISERROR(SEARCH(("6700"),(S108))))</formula>
    </cfRule>
  </conditionalFormatting>
  <conditionalFormatting sqref="S108">
    <cfRule type="containsText" dxfId="0" priority="35" operator="containsText" text="15600">
      <formula>NOT(ISERROR(SEARCH(("15600"),(S108))))</formula>
    </cfRule>
  </conditionalFormatting>
  <conditionalFormatting sqref="S99">
    <cfRule type="containsText" dxfId="0" priority="36" operator="containsText" text="5000">
      <formula>NOT(ISERROR(SEARCH(("5000"),(S99))))</formula>
    </cfRule>
  </conditionalFormatting>
  <conditionalFormatting sqref="S99">
    <cfRule type="containsText" dxfId="0" priority="37" operator="containsText" text="3000">
      <formula>NOT(ISERROR(SEARCH(("3000"),(S99))))</formula>
    </cfRule>
  </conditionalFormatting>
  <conditionalFormatting sqref="S99">
    <cfRule type="containsText" dxfId="0" priority="38" operator="containsText" text="15600">
      <formula>NOT(ISERROR(SEARCH(("15600"),(S99))))</formula>
    </cfRule>
  </conditionalFormatting>
  <conditionalFormatting sqref="S99">
    <cfRule type="containsText" dxfId="0" priority="39" operator="containsText" text="6700">
      <formula>NOT(ISERROR(SEARCH(("6700"),(S99))))</formula>
    </cfRule>
  </conditionalFormatting>
  <conditionalFormatting sqref="S80 U80">
    <cfRule type="containsText" dxfId="0" priority="40" operator="containsText" text="15600">
      <formula>NOT(ISERROR(SEARCH(("15600"),(S80))))</formula>
    </cfRule>
  </conditionalFormatting>
  <conditionalFormatting sqref="S80 U80">
    <cfRule type="containsText" dxfId="0" priority="41" operator="containsText" text="15600">
      <formula>NOT(ISERROR(SEARCH(("15600"),(S80))))</formula>
    </cfRule>
  </conditionalFormatting>
  <conditionalFormatting sqref="S80">
    <cfRule type="containsText" dxfId="0" priority="42" operator="containsText" text="3000">
      <formula>NOT(ISERROR(SEARCH(("3000"),(S80))))</formula>
    </cfRule>
  </conditionalFormatting>
  <conditionalFormatting sqref="S80">
    <cfRule type="containsText" dxfId="0" priority="43" operator="containsText" text="15600">
      <formula>NOT(ISERROR(SEARCH(("15600"),(S80))))</formula>
    </cfRule>
  </conditionalFormatting>
  <conditionalFormatting sqref="S80">
    <cfRule type="containsText" dxfId="0" priority="44" operator="containsText" text="6700">
      <formula>NOT(ISERROR(SEARCH(("6700"),(S80))))</formula>
    </cfRule>
  </conditionalFormatting>
  <conditionalFormatting sqref="S80">
    <cfRule type="containsText" dxfId="0" priority="45" operator="containsText" text="15600">
      <formula>NOT(ISERROR(SEARCH(("15600"),(S80))))</formula>
    </cfRule>
  </conditionalFormatting>
  <conditionalFormatting sqref="S80 U80">
    <cfRule type="containsText" dxfId="0" priority="46" operator="containsText" text="10000">
      <formula>NOT(ISERROR(SEARCH(("10000"),(S80))))</formula>
    </cfRule>
  </conditionalFormatting>
  <conditionalFormatting sqref="S80">
    <cfRule type="containsText" dxfId="0" priority="47" operator="containsText" text="5000">
      <formula>NOT(ISERROR(SEARCH(("5000"),(S80))))</formula>
    </cfRule>
  </conditionalFormatting>
  <conditionalFormatting sqref="U79">
    <cfRule type="containsText" dxfId="0" priority="48" operator="containsText" text="15600">
      <formula>NOT(ISERROR(SEARCH(("15600"),(U79))))</formula>
    </cfRule>
  </conditionalFormatting>
  <conditionalFormatting sqref="U79">
    <cfRule type="containsText" dxfId="0" priority="49" operator="containsText" text="15600">
      <formula>NOT(ISERROR(SEARCH(("15600"),(U79))))</formula>
    </cfRule>
  </conditionalFormatting>
  <conditionalFormatting sqref="U79">
    <cfRule type="containsText" dxfId="0" priority="50" operator="containsText" text="15600">
      <formula>NOT(ISERROR(SEARCH(("15600"),(U79))))</formula>
    </cfRule>
  </conditionalFormatting>
  <conditionalFormatting sqref="U79">
    <cfRule type="containsText" dxfId="0" priority="51" operator="containsText" text="6700">
      <formula>NOT(ISERROR(SEARCH(("6700"),(U79))))</formula>
    </cfRule>
  </conditionalFormatting>
  <conditionalFormatting sqref="U90">
    <cfRule type="containsText" dxfId="0" priority="52" operator="containsText" text="6700">
      <formula>NOT(ISERROR(SEARCH(("6700"),(U90))))</formula>
    </cfRule>
  </conditionalFormatting>
  <conditionalFormatting sqref="U90">
    <cfRule type="containsText" dxfId="0" priority="53" operator="containsText" text="15600">
      <formula>NOT(ISERROR(SEARCH(("15600"),(U90))))</formula>
    </cfRule>
  </conditionalFormatting>
  <conditionalFormatting sqref="U90">
    <cfRule type="containsText" dxfId="0" priority="54" operator="containsText" text="6700">
      <formula>NOT(ISERROR(SEARCH(("6700"),(U90))))</formula>
    </cfRule>
  </conditionalFormatting>
  <conditionalFormatting sqref="U90">
    <cfRule type="containsText" dxfId="0" priority="55" operator="containsText" text="15600">
      <formula>NOT(ISERROR(SEARCH(("15600"),(U90))))</formula>
    </cfRule>
  </conditionalFormatting>
  <conditionalFormatting sqref="U90">
    <cfRule type="containsText" dxfId="0" priority="56" operator="containsText" text="6700">
      <formula>NOT(ISERROR(SEARCH(("6700"),(U90))))</formula>
    </cfRule>
  </conditionalFormatting>
  <conditionalFormatting sqref="U90">
    <cfRule type="containsText" dxfId="0" priority="57" operator="containsText" text="10000">
      <formula>NOT(ISERROR(SEARCH(("10000"),(U90))))</formula>
    </cfRule>
  </conditionalFormatting>
  <conditionalFormatting sqref="U90">
    <cfRule type="containsText" dxfId="0" priority="58" operator="containsText" text="15600">
      <formula>NOT(ISERROR(SEARCH(("15600"),(U90))))</formula>
    </cfRule>
  </conditionalFormatting>
  <conditionalFormatting sqref="U80">
    <cfRule type="containsText" dxfId="0" priority="59" operator="containsText" text="15600">
      <formula>NOT(ISERROR(SEARCH(("15600"),(U80))))</formula>
    </cfRule>
  </conditionalFormatting>
  <conditionalFormatting sqref="U80">
    <cfRule type="containsText" dxfId="0" priority="60" operator="containsText" text="6700">
      <formula>NOT(ISERROR(SEARCH(("6700"),(U80))))</formula>
    </cfRule>
  </conditionalFormatting>
  <conditionalFormatting sqref="U80">
    <cfRule type="containsText" dxfId="0" priority="61" operator="containsText" text="6700">
      <formula>NOT(ISERROR(SEARCH(("6700"),(U80))))</formula>
    </cfRule>
  </conditionalFormatting>
  <conditionalFormatting sqref="U80">
    <cfRule type="containsText" dxfId="0" priority="62" operator="containsText" text="15600">
      <formula>NOT(ISERROR(SEARCH(("15600"),(U80))))</formula>
    </cfRule>
  </conditionalFormatting>
  <conditionalFormatting sqref="U80">
    <cfRule type="containsText" dxfId="0" priority="63" operator="containsText" text="15600">
      <formula>NOT(ISERROR(SEARCH(("15600"),(U80))))</formula>
    </cfRule>
  </conditionalFormatting>
  <conditionalFormatting sqref="U81">
    <cfRule type="containsText" dxfId="0" priority="64" operator="containsText" text="15600">
      <formula>NOT(ISERROR(SEARCH(("15600"),(U81))))</formula>
    </cfRule>
  </conditionalFormatting>
  <conditionalFormatting sqref="U81">
    <cfRule type="containsText" dxfId="0" priority="65" operator="containsText" text="15600">
      <formula>NOT(ISERROR(SEARCH(("15600"),(U81))))</formula>
    </cfRule>
  </conditionalFormatting>
  <conditionalFormatting sqref="U81">
    <cfRule type="containsText" dxfId="0" priority="66" operator="containsText" text="15600">
      <formula>NOT(ISERROR(SEARCH(("15600"),(U81))))</formula>
    </cfRule>
  </conditionalFormatting>
  <conditionalFormatting sqref="U81">
    <cfRule type="containsText" dxfId="0" priority="67" operator="containsText" text="7500">
      <formula>NOT(ISERROR(SEARCH(("7500"),(U81))))</formula>
    </cfRule>
  </conditionalFormatting>
  <conditionalFormatting sqref="U66">
    <cfRule type="containsText" dxfId="0" priority="68" operator="containsText" text="3000">
      <formula>NOT(ISERROR(SEARCH(("3000"),(U66))))</formula>
    </cfRule>
  </conditionalFormatting>
  <conditionalFormatting sqref="U85">
    <cfRule type="containsText" dxfId="0" priority="69" operator="containsText" text="6700">
      <formula>NOT(ISERROR(SEARCH(("6700"),(U85))))</formula>
    </cfRule>
  </conditionalFormatting>
  <conditionalFormatting sqref="U67:U68">
    <cfRule type="containsText" dxfId="0" priority="70" operator="containsText" text="3000">
      <formula>NOT(ISERROR(SEARCH(("3000"),(U67))))</formula>
    </cfRule>
  </conditionalFormatting>
  <conditionalFormatting sqref="S46:S47 U62">
    <cfRule type="containsText" dxfId="0" priority="71" operator="containsText" text="10000">
      <formula>NOT(ISERROR(SEARCH(("10000"),(S46))))</formula>
    </cfRule>
  </conditionalFormatting>
  <conditionalFormatting sqref="S37:S38">
    <cfRule type="containsText" dxfId="0" priority="72" operator="containsText" text="3000">
      <formula>NOT(ISERROR(SEARCH(("3000"),(S37))))</formula>
    </cfRule>
  </conditionalFormatting>
  <conditionalFormatting sqref="S44:S45">
    <cfRule type="containsText" dxfId="0" priority="73" operator="containsText" text="10000">
      <formula>NOT(ISERROR(SEARCH(("10000"),(S44))))</formula>
    </cfRule>
  </conditionalFormatting>
  <conditionalFormatting sqref="S44:S45">
    <cfRule type="containsText" dxfId="0" priority="74" operator="containsText" text="10000">
      <formula>NOT(ISERROR(SEARCH(("10000"),(S44))))</formula>
    </cfRule>
  </conditionalFormatting>
  <conditionalFormatting sqref="U50">
    <cfRule type="containsText" dxfId="0" priority="75" operator="containsText" text="10000">
      <formula>NOT(ISERROR(SEARCH(("10000"),(U50))))</formula>
    </cfRule>
  </conditionalFormatting>
  <conditionalFormatting sqref="U13">
    <cfRule type="containsText" dxfId="0" priority="76" operator="containsText" text="6700">
      <formula>NOT(ISERROR(SEARCH(("6700"),(U13))))</formula>
    </cfRule>
  </conditionalFormatting>
  <conditionalFormatting sqref="U119">
    <cfRule type="containsText" dxfId="0" priority="77" operator="containsText" text="6700">
      <formula>NOT(ISERROR(SEARCH(("6700"),(U119))))</formula>
    </cfRule>
  </conditionalFormatting>
  <conditionalFormatting sqref="S121">
    <cfRule type="containsText" dxfId="0" priority="78" operator="containsText" text="5000">
      <formula>NOT(ISERROR(SEARCH(("5000"),(S121))))</formula>
    </cfRule>
  </conditionalFormatting>
  <conditionalFormatting sqref="S121 U121">
    <cfRule type="containsText" dxfId="0" priority="79" operator="containsText" text="6700">
      <formula>NOT(ISERROR(SEARCH(("6700"),(S121))))</formula>
    </cfRule>
  </conditionalFormatting>
  <conditionalFormatting sqref="S121">
    <cfRule type="containsText" dxfId="0" priority="80" operator="containsText" text="3000">
      <formula>NOT(ISERROR(SEARCH(("3000"),(S121))))</formula>
    </cfRule>
  </conditionalFormatting>
  <conditionalFormatting sqref="S121 U121">
    <cfRule type="containsText" dxfId="0" priority="81" operator="containsText" text="6700">
      <formula>NOT(ISERROR(SEARCH(("6700"),(S121))))</formula>
    </cfRule>
  </conditionalFormatting>
  <conditionalFormatting sqref="S121 U121">
    <cfRule type="containsText" dxfId="0" priority="82" operator="containsText" text="7500">
      <formula>NOT(ISERROR(SEARCH(("7500"),(S121))))</formula>
    </cfRule>
  </conditionalFormatting>
  <conditionalFormatting sqref="U121">
    <cfRule type="containsText" dxfId="0" priority="83" operator="containsText" text="3000">
      <formula>NOT(ISERROR(SEARCH(("3000"),(U121))))</formula>
    </cfRule>
  </conditionalFormatting>
  <conditionalFormatting sqref="U121">
    <cfRule type="containsText" dxfId="0" priority="84" operator="containsText" text="6700">
      <formula>NOT(ISERROR(SEARCH(("6700"),(U121))))</formula>
    </cfRule>
  </conditionalFormatting>
  <conditionalFormatting sqref="U121">
    <cfRule type="containsText" dxfId="0" priority="85" operator="containsText" text="6700">
      <formula>NOT(ISERROR(SEARCH(("6700"),(U121))))</formula>
    </cfRule>
  </conditionalFormatting>
  <conditionalFormatting sqref="U121">
    <cfRule type="containsText" dxfId="0" priority="86" operator="containsText" text="10000">
      <formula>NOT(ISERROR(SEARCH(("10000"),(U121))))</formula>
    </cfRule>
  </conditionalFormatting>
  <conditionalFormatting sqref="U121">
    <cfRule type="containsText" dxfId="0" priority="87" operator="containsText" text="6700">
      <formula>NOT(ISERROR(SEARCH(("6700"),(U121))))</formula>
    </cfRule>
  </conditionalFormatting>
  <conditionalFormatting sqref="U121">
    <cfRule type="containsText" dxfId="0" priority="88" operator="containsText" text="15600">
      <formula>NOT(ISERROR(SEARCH(("15600"),(U121))))</formula>
    </cfRule>
  </conditionalFormatting>
  <conditionalFormatting sqref="U121">
    <cfRule type="containsText" dxfId="0" priority="89" operator="containsText" text="15600">
      <formula>NOT(ISERROR(SEARCH(("15600"),(U121))))</formula>
    </cfRule>
  </conditionalFormatting>
  <conditionalFormatting sqref="U121">
    <cfRule type="containsText" dxfId="0" priority="90" operator="containsText" text="15600">
      <formula>NOT(ISERROR(SEARCH(("15600"),(U121))))</formula>
    </cfRule>
  </conditionalFormatting>
  <conditionalFormatting sqref="U121">
    <cfRule type="containsText" dxfId="0" priority="91" operator="containsText" text="6700">
      <formula>NOT(ISERROR(SEARCH(("6700"),(U121))))</formula>
    </cfRule>
  </conditionalFormatting>
  <conditionalFormatting sqref="S121 U121">
    <cfRule type="containsText" dxfId="0" priority="92" operator="containsText" text="15600">
      <formula>NOT(ISERROR(SEARCH(("15600"),(S121))))</formula>
    </cfRule>
  </conditionalFormatting>
  <conditionalFormatting sqref="S121 U121">
    <cfRule type="containsText" dxfId="0" priority="93" operator="containsText" text="15600">
      <formula>NOT(ISERROR(SEARCH(("15600"),(S121))))</formula>
    </cfRule>
  </conditionalFormatting>
  <conditionalFormatting sqref="S121 U121">
    <cfRule type="containsText" dxfId="0" priority="94" operator="containsText" text="10000">
      <formula>NOT(ISERROR(SEARCH(("10000"),(S121))))</formula>
    </cfRule>
  </conditionalFormatting>
  <conditionalFormatting sqref="S121">
    <cfRule type="containsText" dxfId="0" priority="95" operator="containsText" text="15600">
      <formula>NOT(ISERROR(SEARCH(("15600"),(S121))))</formula>
    </cfRule>
  </conditionalFormatting>
  <conditionalFormatting sqref="S121">
    <cfRule type="containsText" dxfId="0" priority="96" operator="containsText" text="6700">
      <formula>NOT(ISERROR(SEARCH(("6700"),(S121))))</formula>
    </cfRule>
  </conditionalFormatting>
  <conditionalFormatting sqref="S120 U120">
    <cfRule type="containsText" dxfId="0" priority="97" operator="containsText" text="3000">
      <formula>NOT(ISERROR(SEARCH(("3000"),(S120))))</formula>
    </cfRule>
  </conditionalFormatting>
  <conditionalFormatting sqref="S120">
    <cfRule type="containsText" dxfId="0" priority="98" operator="containsText" text="15600">
      <formula>NOT(ISERROR(SEARCH(("15600"),(S120))))</formula>
    </cfRule>
  </conditionalFormatting>
  <conditionalFormatting sqref="S120">
    <cfRule type="containsText" dxfId="0" priority="99" operator="containsText" text="5000">
      <formula>NOT(ISERROR(SEARCH(("5000"),(S120))))</formula>
    </cfRule>
  </conditionalFormatting>
  <conditionalFormatting sqref="S120 U120">
    <cfRule type="containsText" dxfId="0" priority="100" operator="containsText" text="6700">
      <formula>NOT(ISERROR(SEARCH(("6700"),(S120))))</formula>
    </cfRule>
  </conditionalFormatting>
  <conditionalFormatting sqref="U120">
    <cfRule type="containsText" dxfId="0" priority="101" operator="containsText" text="7500">
      <formula>NOT(ISERROR(SEARCH(("7500"),(U120))))</formula>
    </cfRule>
  </conditionalFormatting>
  <conditionalFormatting sqref="S120 U120">
    <cfRule type="containsText" dxfId="0" priority="102" operator="containsText" text="6700">
      <formula>NOT(ISERROR(SEARCH(("6700"),(S120))))</formula>
    </cfRule>
  </conditionalFormatting>
  <conditionalFormatting sqref="S120 U120">
    <cfRule type="containsText" dxfId="0" priority="103" operator="containsText" text="15600">
      <formula>NOT(ISERROR(SEARCH(("15600"),(S120))))</formula>
    </cfRule>
  </conditionalFormatting>
  <conditionalFormatting sqref="S120">
    <cfRule type="containsText" dxfId="0" priority="104" operator="containsText" text="10000">
      <formula>NOT(ISERROR(SEARCH(("10000"),(S120))))</formula>
    </cfRule>
  </conditionalFormatting>
  <conditionalFormatting sqref="S120 U120">
    <cfRule type="containsText" dxfId="0" priority="105" operator="containsText" text="3000">
      <formula>NOT(ISERROR(SEARCH(("3000"),(S120))))</formula>
    </cfRule>
  </conditionalFormatting>
  <conditionalFormatting sqref="S120">
    <cfRule type="containsText" dxfId="0" priority="106" operator="containsText" text="6700">
      <formula>NOT(ISERROR(SEARCH(("6700"),(S120))))</formula>
    </cfRule>
  </conditionalFormatting>
  <conditionalFormatting sqref="U120">
    <cfRule type="containsText" dxfId="0" priority="107" operator="containsText" text="3000">
      <formula>NOT(ISERROR(SEARCH(("3000"),(U120))))</formula>
    </cfRule>
  </conditionalFormatting>
  <conditionalFormatting sqref="U120">
    <cfRule type="containsText" dxfId="0" priority="108" operator="containsText" text="10000">
      <formula>NOT(ISERROR(SEARCH(("10000"),(U120))))</formula>
    </cfRule>
  </conditionalFormatting>
  <conditionalFormatting sqref="U120">
    <cfRule type="containsText" dxfId="0" priority="109" operator="containsText" text="3000">
      <formula>NOT(ISERROR(SEARCH(("3000"),(U120))))</formula>
    </cfRule>
  </conditionalFormatting>
  <conditionalFormatting sqref="U120">
    <cfRule type="containsText" dxfId="0" priority="110" operator="containsText" text="3000">
      <formula>NOT(ISERROR(SEARCH(("3000"),(U120))))</formula>
    </cfRule>
  </conditionalFormatting>
  <conditionalFormatting sqref="U120">
    <cfRule type="containsText" dxfId="0" priority="111" operator="containsText" text="6700">
      <formula>NOT(ISERROR(SEARCH(("6700"),(U120))))</formula>
    </cfRule>
  </conditionalFormatting>
  <conditionalFormatting sqref="U120">
    <cfRule type="containsText" dxfId="0" priority="112" operator="containsText" text="6700">
      <formula>NOT(ISERROR(SEARCH(("6700"),(U120))))</formula>
    </cfRule>
  </conditionalFormatting>
  <conditionalFormatting sqref="U120">
    <cfRule type="containsText" dxfId="0" priority="113" operator="containsText" text="6700">
      <formula>NOT(ISERROR(SEARCH(("6700"),(U120))))</formula>
    </cfRule>
  </conditionalFormatting>
  <conditionalFormatting sqref="U120">
    <cfRule type="containsText" dxfId="0" priority="114" operator="containsText" text="3000">
      <formula>NOT(ISERROR(SEARCH(("3000"),(U120))))</formula>
    </cfRule>
  </conditionalFormatting>
  <conditionalFormatting sqref="U118">
    <cfRule type="containsText" dxfId="0" priority="115" operator="containsText" text="6700">
      <formula>NOT(ISERROR(SEARCH(("6700"),(U118))))</formula>
    </cfRule>
  </conditionalFormatting>
  <conditionalFormatting sqref="U25:U36 C27:C36 L27:L36 C112 J112 L112 U112">
    <cfRule type="containsText" dxfId="0" priority="116" operator="containsText" text="7500">
      <formula>NOT(ISERROR(SEARCH(("7500"),(U25))))</formula>
    </cfRule>
  </conditionalFormatting>
  <conditionalFormatting sqref="U24:U89 C26:C89 L26:L89 S108 U108 C112 J112 L112 U112 U120">
    <cfRule type="containsText" dxfId="0" priority="117" operator="containsText" text="6700">
      <formula>NOT(ISERROR(SEARCH(("6700"),(U24))))</formula>
    </cfRule>
  </conditionalFormatting>
  <conditionalFormatting sqref="U20:U45 C22:C45 L22:L45 S108 J112">
    <cfRule type="containsText" dxfId="0" priority="118" operator="containsText" text="5000">
      <formula>NOT(ISERROR(SEARCH(("5000"),(U20))))</formula>
    </cfRule>
  </conditionalFormatting>
  <conditionalFormatting sqref="C112 J112 L112 U112">
    <cfRule type="containsText" dxfId="0" priority="119" operator="containsText" text="6700">
      <formula>NOT(ISERROR(SEARCH(("6700"),(C112))))</formula>
    </cfRule>
  </conditionalFormatting>
  <conditionalFormatting sqref="U27:U66 C29:C66 L29:L66 C112 J112 L112 U112">
    <cfRule type="containsText" dxfId="0" priority="120" operator="containsText" text="3000">
      <formula>NOT(ISERROR(SEARCH(("3000"),(U27))))</formula>
    </cfRule>
  </conditionalFormatting>
  <conditionalFormatting sqref="C112 J112 L112 U112">
    <cfRule type="containsText" dxfId="0" priority="121" operator="containsText" text="6700">
      <formula>NOT(ISERROR(SEARCH(("6700"),(C112))))</formula>
    </cfRule>
  </conditionalFormatting>
  <conditionalFormatting sqref="J112">
    <cfRule type="containsText" dxfId="0" priority="122" operator="containsText" text="3000">
      <formula>NOT(ISERROR(SEARCH(("3000"),(J112))))</formula>
    </cfRule>
  </conditionalFormatting>
  <conditionalFormatting sqref="U65:U74 C68:C74 L68:L74 U77:U89 C80:C89 L80:L89 S108 U108 C112 J112 L112 U112">
    <cfRule type="containsText" dxfId="0" priority="123" operator="containsText" text="15600">
      <formula>NOT(ISERROR(SEARCH(("15600"),(U65))))</formula>
    </cfRule>
  </conditionalFormatting>
  <conditionalFormatting sqref="S108 U108 C112 J112 L112 U112">
    <cfRule type="containsText" dxfId="0" priority="124" operator="containsText" text="15600">
      <formula>NOT(ISERROR(SEARCH(("15600"),(S108))))</formula>
    </cfRule>
  </conditionalFormatting>
  <conditionalFormatting sqref="J112">
    <cfRule type="containsText" dxfId="0" priority="125" operator="containsText" text="15600">
      <formula>NOT(ISERROR(SEARCH(("15600"),(J112))))</formula>
    </cfRule>
  </conditionalFormatting>
  <conditionalFormatting sqref="J112">
    <cfRule type="containsText" dxfId="0" priority="126" operator="containsText" text="6700">
      <formula>NOT(ISERROR(SEARCH(("6700"),(J112))))</formula>
    </cfRule>
  </conditionalFormatting>
  <conditionalFormatting sqref="J112">
    <cfRule type="containsText" dxfId="0" priority="127" operator="containsText" text="15600">
      <formula>NOT(ISERROR(SEARCH(("15600"),(J112))))</formula>
    </cfRule>
  </conditionalFormatting>
  <conditionalFormatting sqref="U41:U45 C43:C45 L43:L45 C112 J112 L112 U112">
    <cfRule type="containsText" dxfId="0" priority="128" operator="containsText" text="10000">
      <formula>NOT(ISERROR(SEARCH(("10000"),(U41))))</formula>
    </cfRule>
  </conditionalFormatting>
  <conditionalFormatting sqref="C112 L112 U112">
    <cfRule type="containsText" dxfId="0" priority="129" operator="containsText" text="6700">
      <formula>NOT(ISERROR(SEARCH(("6700"),(C112))))</formula>
    </cfRule>
  </conditionalFormatting>
  <conditionalFormatting sqref="C112 L112 U112">
    <cfRule type="containsText" dxfId="0" priority="130" operator="containsText" text="15600">
      <formula>NOT(ISERROR(SEARCH(("15600"),(C112))))</formula>
    </cfRule>
  </conditionalFormatting>
  <conditionalFormatting sqref="C112 L112 U112">
    <cfRule type="containsText" dxfId="0" priority="131" operator="containsText" text="15600">
      <formula>NOT(ISERROR(SEARCH(("15600"),(C112))))</formula>
    </cfRule>
  </conditionalFormatting>
  <conditionalFormatting sqref="C112 L112 U112">
    <cfRule type="containsText" dxfId="0" priority="132" operator="containsText" text="6700">
      <formula>NOT(ISERROR(SEARCH(("6700"),(C112))))</formula>
    </cfRule>
  </conditionalFormatting>
  <conditionalFormatting sqref="C112 L112 U112">
    <cfRule type="containsText" dxfId="0" priority="133" operator="containsText" text="15600">
      <formula>NOT(ISERROR(SEARCH(("15600"),(C112))))</formula>
    </cfRule>
  </conditionalFormatting>
  <conditionalFormatting sqref="C112 L112 U112">
    <cfRule type="containsText" dxfId="0" priority="134" operator="containsText" text="15600">
      <formula>NOT(ISERROR(SEARCH(("15600"),(C112))))</formula>
    </cfRule>
  </conditionalFormatting>
  <conditionalFormatting sqref="C112 L112 U112">
    <cfRule type="containsText" dxfId="0" priority="135" operator="containsText" text="6700">
      <formula>NOT(ISERROR(SEARCH(("6700"),(C112))))</formula>
    </cfRule>
  </conditionalFormatting>
  <conditionalFormatting sqref="U108 C112 L112 U112">
    <cfRule type="containsText" dxfId="0" priority="136" operator="containsText" text="7500">
      <formula>NOT(ISERROR(SEARCH(("7500"),(U108))))</formula>
    </cfRule>
  </conditionalFormatting>
  <conditionalFormatting sqref="C112 L112 U112">
    <cfRule type="containsText" dxfId="0" priority="137" operator="containsText" text="6700">
      <formula>NOT(ISERROR(SEARCH(("6700"),(C112))))</formula>
    </cfRule>
  </conditionalFormatting>
  <conditionalFormatting sqref="C112 L112 U112">
    <cfRule type="containsText" dxfId="0" priority="138" operator="containsText" text="6700">
      <formula>NOT(ISERROR(SEARCH(("6700"),(C112))))</formula>
    </cfRule>
  </conditionalFormatting>
  <conditionalFormatting sqref="U108 C112 L112 U112">
    <cfRule type="containsText" dxfId="0" priority="139" operator="containsText" text="6700">
      <formula>NOT(ISERROR(SEARCH(("6700"),(U108))))</formula>
    </cfRule>
  </conditionalFormatting>
  <conditionalFormatting sqref="C112 L112 U112">
    <cfRule type="containsText" dxfId="0" priority="140" operator="containsText" text="6700">
      <formula>NOT(ISERROR(SEARCH(("6700"),(C112))))</formula>
    </cfRule>
  </conditionalFormatting>
  <conditionalFormatting sqref="C112 L112 U112">
    <cfRule type="containsText" dxfId="0" priority="141" operator="containsText" text="15600">
      <formula>NOT(ISERROR(SEARCH(("15600"),(C112))))</formula>
    </cfRule>
  </conditionalFormatting>
  <conditionalFormatting sqref="U64:U78 C67:C72 L67:L72 C76:C78 L76:L78 C80:C81 L80:L81 U80:U81">
    <cfRule type="containsText" dxfId="0" priority="142" operator="containsText" text="15600">
      <formula>NOT(ISERROR(SEARCH(("15600"),(U64))))</formula>
    </cfRule>
  </conditionalFormatting>
  <conditionalFormatting sqref="U69 C72 L72 U72">
    <cfRule type="containsText" dxfId="0" priority="143" operator="containsText" text="15600">
      <formula>NOT(ISERROR(SEARCH(("15600"),(U69))))</formula>
    </cfRule>
  </conditionalFormatting>
  <conditionalFormatting sqref="U67:U68 C70:C71 L70:L71 U70:U71">
    <cfRule type="containsText" dxfId="0" priority="144" operator="containsText" text="15600">
      <formula>NOT(ISERROR(SEARCH(("15600"),(U67))))</formula>
    </cfRule>
  </conditionalFormatting>
  <conditionalFormatting sqref="U29:U61 C31:C61 L31:L61 C70:C71 L70:L71 U70:U71">
    <cfRule type="containsText" dxfId="0" priority="145" operator="containsText" text="3000">
      <formula>NOT(ISERROR(SEARCH(("3000"),(U29))))</formula>
    </cfRule>
  </conditionalFormatting>
  <conditionalFormatting sqref="C69 L69 U69">
    <cfRule type="containsText" dxfId="0" priority="146" operator="containsText" text="3000">
      <formula>NOT(ISERROR(SEARCH(("3000"),(C69))))</formula>
    </cfRule>
  </conditionalFormatting>
  <conditionalFormatting sqref="U66 C69 L69 U69">
    <cfRule type="containsText" dxfId="0" priority="147" operator="containsText" text="15600">
      <formula>NOT(ISERROR(SEARCH(("15600"),(U66))))</formula>
    </cfRule>
  </conditionalFormatting>
  <conditionalFormatting sqref="U82:U83">
    <cfRule type="containsText" dxfId="0" priority="148" operator="containsText" text="3000">
      <formula>NOT(ISERROR(SEARCH(("3000"),(U82))))</formula>
    </cfRule>
  </conditionalFormatting>
  <conditionalFormatting sqref="U82:U83">
    <cfRule type="containsText" dxfId="0" priority="149" operator="containsText" text="7500">
      <formula>NOT(ISERROR(SEARCH(("7500"),(U82))))</formula>
    </cfRule>
  </conditionalFormatting>
  <conditionalFormatting sqref="S82:S83 U82:U83">
    <cfRule type="containsText" dxfId="0" priority="150" operator="containsText" text="10000">
      <formula>NOT(ISERROR(SEARCH(("10000"),(S82))))</formula>
    </cfRule>
  </conditionalFormatting>
  <conditionalFormatting sqref="S82:S83 U82:U83">
    <cfRule type="containsText" dxfId="0" priority="151" operator="containsText" text="6700">
      <formula>NOT(ISERROR(SEARCH(("6700"),(S82))))</formula>
    </cfRule>
  </conditionalFormatting>
  <conditionalFormatting sqref="U82:U83">
    <cfRule type="containsText" dxfId="0" priority="152" operator="containsText" text="3000">
      <formula>NOT(ISERROR(SEARCH(("3000"),(U82))))</formula>
    </cfRule>
  </conditionalFormatting>
  <conditionalFormatting sqref="U82:U83">
    <cfRule type="containsText" dxfId="0" priority="153" operator="containsText" text="15600">
      <formula>NOT(ISERROR(SEARCH(("15600"),(U82))))</formula>
    </cfRule>
  </conditionalFormatting>
  <conditionalFormatting sqref="U82:U83">
    <cfRule type="containsText" dxfId="0" priority="154" operator="containsText" text="15600">
      <formula>NOT(ISERROR(SEARCH(("15600"),(U82))))</formula>
    </cfRule>
  </conditionalFormatting>
  <conditionalFormatting sqref="U82:U83">
    <cfRule type="containsText" dxfId="0" priority="155" operator="containsText" text="6700">
      <formula>NOT(ISERROR(SEARCH(("6700"),(U82))))</formula>
    </cfRule>
  </conditionalFormatting>
  <conditionalFormatting sqref="U82:U83">
    <cfRule type="containsText" dxfId="0" priority="156" operator="containsText" text="15600">
      <formula>NOT(ISERROR(SEARCH(("15600"),(U82))))</formula>
    </cfRule>
  </conditionalFormatting>
  <conditionalFormatting sqref="S82:S83 U82:U83">
    <cfRule type="containsText" dxfId="0" priority="157" operator="containsText" text="7500">
      <formula>NOT(ISERROR(SEARCH(("7500"),(S82))))</formula>
    </cfRule>
  </conditionalFormatting>
  <conditionalFormatting sqref="S82:S83 U82:U83">
    <cfRule type="containsText" dxfId="0" priority="158" operator="containsText" text="15600">
      <formula>NOT(ISERROR(SEARCH(("15600"),(S82))))</formula>
    </cfRule>
  </conditionalFormatting>
  <conditionalFormatting sqref="S82:S83 U82:U83">
    <cfRule type="containsText" dxfId="0" priority="159" operator="containsText" text="6700">
      <formula>NOT(ISERROR(SEARCH(("6700"),(S82))))</formula>
    </cfRule>
  </conditionalFormatting>
  <conditionalFormatting sqref="U82:U83">
    <cfRule type="containsText" dxfId="0" priority="160" operator="containsText" text="6700">
      <formula>NOT(ISERROR(SEARCH(("6700"),(U82))))</formula>
    </cfRule>
  </conditionalFormatting>
  <conditionalFormatting sqref="S82:S83 U82:U83">
    <cfRule type="containsText" dxfId="0" priority="161" operator="containsText" text="15600">
      <formula>NOT(ISERROR(SEARCH(("15600"),(S82))))</formula>
    </cfRule>
  </conditionalFormatting>
  <conditionalFormatting sqref="U80">
    <cfRule type="containsText" dxfId="0" priority="162" operator="containsText" text="15600">
      <formula>NOT(ISERROR(SEARCH(("15600"),(U80))))</formula>
    </cfRule>
  </conditionalFormatting>
  <conditionalFormatting sqref="U80">
    <cfRule type="containsText" dxfId="0" priority="163" operator="containsText" text="7500">
      <formula>NOT(ISERROR(SEARCH(("7500"),(U80))))</formula>
    </cfRule>
  </conditionalFormatting>
  <conditionalFormatting sqref="U80">
    <cfRule type="containsText" dxfId="0" priority="164" operator="containsText" text="10000">
      <formula>NOT(ISERROR(SEARCH(("10000"),(U80))))</formula>
    </cfRule>
  </conditionalFormatting>
  <conditionalFormatting sqref="U80">
    <cfRule type="containsText" dxfId="0" priority="165" operator="containsText" text="15600">
      <formula>NOT(ISERROR(SEARCH(("15600"),(U80))))</formula>
    </cfRule>
  </conditionalFormatting>
  <conditionalFormatting sqref="U85">
    <cfRule type="containsText" dxfId="0" priority="166" operator="containsText" text="6700">
      <formula>NOT(ISERROR(SEARCH(("6700"),(U85))))</formula>
    </cfRule>
  </conditionalFormatting>
  <conditionalFormatting sqref="S82:S83">
    <cfRule type="containsText" dxfId="0" priority="167" operator="containsText" text="5000">
      <formula>NOT(ISERROR(SEARCH(("5000"),(S82))))</formula>
    </cfRule>
  </conditionalFormatting>
  <conditionalFormatting sqref="S82:S83">
    <cfRule type="containsText" dxfId="0" priority="168" operator="containsText" text="3000">
      <formula>NOT(ISERROR(SEARCH(("3000"),(S82))))</formula>
    </cfRule>
  </conditionalFormatting>
  <conditionalFormatting sqref="S82:S83">
    <cfRule type="containsText" dxfId="0" priority="169" operator="containsText" text="15600">
      <formula>NOT(ISERROR(SEARCH(("15600"),(S82))))</formula>
    </cfRule>
  </conditionalFormatting>
  <conditionalFormatting sqref="S82:S83">
    <cfRule type="containsText" dxfId="0" priority="170" operator="containsText" text="6700">
      <formula>NOT(ISERROR(SEARCH(("6700"),(S82))))</formula>
    </cfRule>
  </conditionalFormatting>
  <conditionalFormatting sqref="S82:S83">
    <cfRule type="containsText" dxfId="0" priority="171" operator="containsText" text="15600">
      <formula>NOT(ISERROR(SEARCH(("15600"),(S82))))</formula>
    </cfRule>
  </conditionalFormatting>
  <conditionalFormatting sqref="U84">
    <cfRule type="containsText" dxfId="0" priority="172" operator="containsText" text="3000">
      <formula>NOT(ISERROR(SEARCH(("3000"),(U84))))</formula>
    </cfRule>
  </conditionalFormatting>
  <conditionalFormatting sqref="U84">
    <cfRule type="containsText" dxfId="0" priority="173" operator="containsText" text="15600">
      <formula>NOT(ISERROR(SEARCH(("15600"),(U84))))</formula>
    </cfRule>
  </conditionalFormatting>
  <conditionalFormatting sqref="U84">
    <cfRule type="containsText" dxfId="0" priority="174" operator="containsText" text="6700">
      <formula>NOT(ISERROR(SEARCH(("6700"),(U84))))</formula>
    </cfRule>
  </conditionalFormatting>
  <conditionalFormatting sqref="U84">
    <cfRule type="containsText" dxfId="0" priority="175" operator="containsText" text="15600">
      <formula>NOT(ISERROR(SEARCH(("15600"),(U84))))</formula>
    </cfRule>
  </conditionalFormatting>
  <conditionalFormatting sqref="U84">
    <cfRule type="containsText" dxfId="0" priority="176" operator="containsText" text="7500">
      <formula>NOT(ISERROR(SEARCH(("7500"),(U84))))</formula>
    </cfRule>
  </conditionalFormatting>
  <conditionalFormatting sqref="U84">
    <cfRule type="containsText" dxfId="0" priority="177" operator="containsText" text="3000">
      <formula>NOT(ISERROR(SEARCH(("3000"),(U84))))</formula>
    </cfRule>
  </conditionalFormatting>
  <conditionalFormatting sqref="U84">
    <cfRule type="containsText" dxfId="0" priority="178" operator="containsText" text="3000">
      <formula>NOT(ISERROR(SEARCH(("3000"),(U84))))</formula>
    </cfRule>
  </conditionalFormatting>
  <conditionalFormatting sqref="U84">
    <cfRule type="containsText" dxfId="0" priority="179" operator="containsText" text="7500">
      <formula>NOT(ISERROR(SEARCH(("7500"),(U84))))</formula>
    </cfRule>
  </conditionalFormatting>
  <conditionalFormatting sqref="U81">
    <cfRule type="containsText" dxfId="0" priority="180" operator="containsText" text="3000">
      <formula>NOT(ISERROR(SEARCH(("3000"),(U81))))</formula>
    </cfRule>
  </conditionalFormatting>
  <conditionalFormatting sqref="U81">
    <cfRule type="containsText" dxfId="0" priority="181" operator="containsText" text="3000">
      <formula>NOT(ISERROR(SEARCH(("3000"),(U81))))</formula>
    </cfRule>
  </conditionalFormatting>
  <conditionalFormatting sqref="U81">
    <cfRule type="containsText" dxfId="0" priority="182" operator="containsText" text="15600">
      <formula>NOT(ISERROR(SEARCH(("15600"),(U81))))</formula>
    </cfRule>
  </conditionalFormatting>
  <conditionalFormatting sqref="U81">
    <cfRule type="containsText" dxfId="0" priority="183" operator="containsText" text="7500">
      <formula>NOT(ISERROR(SEARCH(("7500"),(U81))))</formula>
    </cfRule>
  </conditionalFormatting>
  <conditionalFormatting sqref="U81">
    <cfRule type="containsText" dxfId="0" priority="184" operator="containsText" text="7500">
      <formula>NOT(ISERROR(SEARCH(("7500"),(U81))))</formula>
    </cfRule>
  </conditionalFormatting>
  <conditionalFormatting sqref="U81">
    <cfRule type="containsText" dxfId="0" priority="185" operator="containsText" text="3000">
      <formula>NOT(ISERROR(SEARCH(("3000"),(U81))))</formula>
    </cfRule>
  </conditionalFormatting>
  <conditionalFormatting sqref="U81">
    <cfRule type="containsText" dxfId="0" priority="186" operator="containsText" text="3000">
      <formula>NOT(ISERROR(SEARCH(("3000"),(U81))))</formula>
    </cfRule>
  </conditionalFormatting>
  <conditionalFormatting sqref="U81">
    <cfRule type="containsText" dxfId="0" priority="187" operator="containsText" text="15600">
      <formula>NOT(ISERROR(SEARCH(("15600"),(U81))))</formula>
    </cfRule>
  </conditionalFormatting>
  <conditionalFormatting sqref="U81">
    <cfRule type="containsText" dxfId="0" priority="188" operator="containsText" text="15600">
      <formula>NOT(ISERROR(SEARCH(("15600"),(U81))))</formula>
    </cfRule>
  </conditionalFormatting>
  <conditionalFormatting sqref="U81">
    <cfRule type="containsText" dxfId="0" priority="189" operator="containsText" text="6700">
      <formula>NOT(ISERROR(SEARCH(("6700"),(U81))))</formula>
    </cfRule>
  </conditionalFormatting>
  <conditionalFormatting sqref="U79">
    <cfRule type="containsText" dxfId="0" priority="190" operator="containsText" text="15600">
      <formula>NOT(ISERROR(SEARCH(("15600"),(U79))))</formula>
    </cfRule>
  </conditionalFormatting>
  <conditionalFormatting sqref="U70">
    <cfRule type="containsText" dxfId="0" priority="191" operator="containsText" text="15600">
      <formula>NOT(ISERROR(SEARCH(("15600"),(U70))))</formula>
    </cfRule>
  </conditionalFormatting>
  <conditionalFormatting sqref="U26:U81 C28:C81 L28:L81 C84 L84 U84">
    <cfRule type="containsText" dxfId="0" priority="192" operator="containsText" text="6700">
      <formula>NOT(ISERROR(SEARCH(("6700"),(U26))))</formula>
    </cfRule>
  </conditionalFormatting>
  <conditionalFormatting sqref="C84 L84 U84">
    <cfRule type="containsText" dxfId="0" priority="193" operator="containsText" text="15600">
      <formula>NOT(ISERROR(SEARCH(("15600"),(C84))))</formula>
    </cfRule>
  </conditionalFormatting>
  <conditionalFormatting sqref="C84 L84 U84">
    <cfRule type="containsText" dxfId="0" priority="194" operator="containsText" text="15600">
      <formula>NOT(ISERROR(SEARCH(("15600"),(C84))))</formula>
    </cfRule>
  </conditionalFormatting>
  <conditionalFormatting sqref="U81 C84 L84 U84">
    <cfRule type="containsText" dxfId="0" priority="195" operator="containsText" text="3000">
      <formula>NOT(ISERROR(SEARCH(("3000"),(U81))))</formula>
    </cfRule>
  </conditionalFormatting>
  <conditionalFormatting sqref="U27:U40 C29:C34 L29:L34 C36:C40 L36:L40 C84 L84 U84">
    <cfRule type="containsText" dxfId="0" priority="196" operator="containsText" text="7500">
      <formula>NOT(ISERROR(SEARCH(("7500"),(U27))))</formula>
    </cfRule>
  </conditionalFormatting>
  <conditionalFormatting sqref="U81 C84 L84 U84">
    <cfRule type="containsText" dxfId="0" priority="197" operator="containsText" text="3000">
      <formula>NOT(ISERROR(SEARCH(("3000"),(U81))))</formula>
    </cfRule>
  </conditionalFormatting>
  <conditionalFormatting sqref="C83 L83 U83">
    <cfRule type="containsText" dxfId="0" priority="198" operator="containsText" text="15600">
      <formula>NOT(ISERROR(SEARCH(("15600"),(C83))))</formula>
    </cfRule>
  </conditionalFormatting>
  <conditionalFormatting sqref="U42 C44 L44 U44 U46:U50 C48:C50 L48:L50 C83 J83 L83 U83">
    <cfRule type="containsText" dxfId="0" priority="199" operator="containsText" text="10000">
      <formula>NOT(ISERROR(SEARCH(("10000"),(U42))))</formula>
    </cfRule>
  </conditionalFormatting>
  <conditionalFormatting sqref="S80 U80 C83 J83 L83 U83">
    <cfRule type="containsText" dxfId="0" priority="200" operator="containsText" text="6700">
      <formula>NOT(ISERROR(SEARCH(("6700"),(S80))))</formula>
    </cfRule>
  </conditionalFormatting>
  <conditionalFormatting sqref="U80 C83 L83 U83">
    <cfRule type="containsText" dxfId="0" priority="201" operator="containsText" text="3000">
      <formula>NOT(ISERROR(SEARCH(("3000"),(U80))))</formula>
    </cfRule>
  </conditionalFormatting>
  <conditionalFormatting sqref="S80 U80 C83 J83 L83 U83">
    <cfRule type="containsText" dxfId="0" priority="202" operator="containsText" text="7500">
      <formula>NOT(ISERROR(SEARCH(("7500"),(S80))))</formula>
    </cfRule>
  </conditionalFormatting>
  <conditionalFormatting sqref="C83 J83 L83 U83">
    <cfRule type="containsText" dxfId="0" priority="203" operator="containsText" text="15600">
      <formula>NOT(ISERROR(SEARCH(("15600"),(C83))))</formula>
    </cfRule>
  </conditionalFormatting>
  <conditionalFormatting sqref="S80 U80 C83 J83 L83 U83">
    <cfRule type="containsText" dxfId="0" priority="204" operator="containsText" text="6700">
      <formula>NOT(ISERROR(SEARCH(("6700"),(S80))))</formula>
    </cfRule>
  </conditionalFormatting>
  <conditionalFormatting sqref="U80 U82:U83 C83 L83 U85:U86">
    <cfRule type="containsText" dxfId="0" priority="205" operator="containsText" text="3000">
      <formula>NOT(ISERROR(SEARCH(("3000"),(U80))))</formula>
    </cfRule>
  </conditionalFormatting>
  <conditionalFormatting sqref="C83 L83 U83">
    <cfRule type="containsText" dxfId="0" priority="206" operator="containsText" text="6700">
      <formula>NOT(ISERROR(SEARCH(("6700"),(C83))))</formula>
    </cfRule>
  </conditionalFormatting>
  <conditionalFormatting sqref="C83 J83 L83 U83">
    <cfRule type="containsText" dxfId="0" priority="207" operator="containsText" text="15600">
      <formula>NOT(ISERROR(SEARCH(("15600"),(C83))))</formula>
    </cfRule>
  </conditionalFormatting>
  <conditionalFormatting sqref="C83 L83 U83">
    <cfRule type="containsText" dxfId="0" priority="208" operator="containsText" text="6700">
      <formula>NOT(ISERROR(SEARCH(("6700"),(C83))))</formula>
    </cfRule>
  </conditionalFormatting>
  <conditionalFormatting sqref="C83 L83 U83">
    <cfRule type="containsText" dxfId="0" priority="209" operator="containsText" text="15600">
      <formula>NOT(ISERROR(SEARCH(("15600"),(C83))))</formula>
    </cfRule>
  </conditionalFormatting>
  <conditionalFormatting sqref="C83 L83 U83">
    <cfRule type="containsText" dxfId="0" priority="210" operator="containsText" text="15600">
      <formula>NOT(ISERROR(SEARCH(("15600"),(C83))))</formula>
    </cfRule>
  </conditionalFormatting>
  <conditionalFormatting sqref="U80 C83 L83 U83">
    <cfRule type="containsText" dxfId="0" priority="211" operator="containsText" text="7500">
      <formula>NOT(ISERROR(SEARCH(("7500"),(U80))))</formula>
    </cfRule>
  </conditionalFormatting>
  <conditionalFormatting sqref="U80 C83 L83 U83">
    <cfRule type="containsText" dxfId="0" priority="212" operator="containsText" text="3000">
      <formula>NOT(ISERROR(SEARCH(("3000"),(U80))))</formula>
    </cfRule>
  </conditionalFormatting>
  <conditionalFormatting sqref="C88 L88 U88">
    <cfRule type="containsText" dxfId="0" priority="213" operator="containsText" text="6700">
      <formula>NOT(ISERROR(SEARCH(("6700"),(C88))))</formula>
    </cfRule>
  </conditionalFormatting>
  <conditionalFormatting sqref="U79 C82 L82 U82">
    <cfRule type="containsText" dxfId="0" priority="214" operator="containsText" text="3000">
      <formula>NOT(ISERROR(SEARCH(("3000"),(U79))))</formula>
    </cfRule>
  </conditionalFormatting>
  <conditionalFormatting sqref="U79 C82 L82 U82">
    <cfRule type="containsText" dxfId="0" priority="215" operator="containsText" text="3000">
      <formula>NOT(ISERROR(SEARCH(("3000"),(U79))))</formula>
    </cfRule>
  </conditionalFormatting>
  <conditionalFormatting sqref="C82 L82 U82">
    <cfRule type="containsText" dxfId="0" priority="216" operator="containsText" text="15600">
      <formula>NOT(ISERROR(SEARCH(("15600"),(C82))))</formula>
    </cfRule>
  </conditionalFormatting>
  <conditionalFormatting sqref="U79 C82 L82 U82">
    <cfRule type="containsText" dxfId="0" priority="217" operator="containsText" text="7500">
      <formula>NOT(ISERROR(SEARCH(("7500"),(U79))))</formula>
    </cfRule>
  </conditionalFormatting>
  <conditionalFormatting sqref="U79 C82 L82 U82">
    <cfRule type="containsText" dxfId="0" priority="218" operator="containsText" text="7500">
      <formula>NOT(ISERROR(SEARCH(("7500"),(U79))))</formula>
    </cfRule>
  </conditionalFormatting>
  <conditionalFormatting sqref="U79 C82 L82 U82">
    <cfRule type="containsText" dxfId="0" priority="219" operator="containsText" text="3000">
      <formula>NOT(ISERROR(SEARCH(("3000"),(U79))))</formula>
    </cfRule>
  </conditionalFormatting>
  <conditionalFormatting sqref="U79 C82 L82 U82">
    <cfRule type="containsText" dxfId="0" priority="220" operator="containsText" text="3000">
      <formula>NOT(ISERROR(SEARCH(("3000"),(U79))))</formula>
    </cfRule>
  </conditionalFormatting>
  <conditionalFormatting sqref="C82 L82 U82">
    <cfRule type="containsText" dxfId="0" priority="221" operator="containsText" text="15600">
      <formula>NOT(ISERROR(SEARCH(("15600"),(C82))))</formula>
    </cfRule>
  </conditionalFormatting>
  <conditionalFormatting sqref="C82 L82 U82">
    <cfRule type="containsText" dxfId="0" priority="222" operator="containsText" text="15600">
      <formula>NOT(ISERROR(SEARCH(("15600"),(C82))))</formula>
    </cfRule>
  </conditionalFormatting>
  <conditionalFormatting sqref="C82 L82 U82">
    <cfRule type="containsText" dxfId="0" priority="223" operator="containsText" text="6700">
      <formula>NOT(ISERROR(SEARCH(("6700"),(C82))))</formula>
    </cfRule>
  </conditionalFormatting>
  <conditionalFormatting sqref="U74:U80 C77:C79 L77:L79">
    <cfRule type="containsText" dxfId="0" priority="224" operator="containsText" text="7500">
      <formula>NOT(ISERROR(SEARCH(("7500"),(U74))))</formula>
    </cfRule>
  </conditionalFormatting>
  <conditionalFormatting sqref="U74:U80 C77:C79 L77:L79">
    <cfRule type="containsText" dxfId="0" priority="225" operator="containsText" text="10000">
      <formula>NOT(ISERROR(SEARCH(("10000"),(U74))))</formula>
    </cfRule>
  </conditionalFormatting>
  <conditionalFormatting sqref="U74:U80 C77:C79 L77:L79">
    <cfRule type="containsText" dxfId="0" priority="226" operator="containsText" text="6700">
      <formula>NOT(ISERROR(SEARCH(("6700"),(U74))))</formula>
    </cfRule>
  </conditionalFormatting>
  <conditionalFormatting sqref="U74:U80 C77:C79 L77:L79">
    <cfRule type="containsText" dxfId="0" priority="227" operator="containsText" text="15600">
      <formula>NOT(ISERROR(SEARCH(("15600"),(U74))))</formula>
    </cfRule>
  </conditionalFormatting>
  <conditionalFormatting sqref="U74:U80 C77:C79 L77:L79">
    <cfRule type="containsText" dxfId="0" priority="228" operator="containsText" text="15600">
      <formula>NOT(ISERROR(SEARCH(("15600"),(U74))))</formula>
    </cfRule>
  </conditionalFormatting>
  <conditionalFormatting sqref="U74:U80 C77:C79 L77:L79">
    <cfRule type="containsText" dxfId="0" priority="229" operator="containsText" text="6700">
      <formula>NOT(ISERROR(SEARCH(("6700"),(U74))))</formula>
    </cfRule>
  </conditionalFormatting>
  <conditionalFormatting sqref="U74:U80 C77:C79 L77:L79">
    <cfRule type="containsText" dxfId="0" priority="230" operator="containsText" text="3000">
      <formula>NOT(ISERROR(SEARCH(("3000"),(U74))))</formula>
    </cfRule>
  </conditionalFormatting>
  <conditionalFormatting sqref="U77:U83 C80:C82 L80:L82">
    <cfRule type="containsText" dxfId="0" priority="231" operator="containsText" text="15600">
      <formula>NOT(ISERROR(SEARCH(("15600"),(U77))))</formula>
    </cfRule>
  </conditionalFormatting>
  <conditionalFormatting sqref="U67:U68">
    <cfRule type="containsText" dxfId="0" priority="232" operator="containsText" text="15600">
      <formula>NOT(ISERROR(SEARCH(("15600"),(U67))))</formula>
    </cfRule>
  </conditionalFormatting>
  <conditionalFormatting sqref="U67:U68">
    <cfRule type="containsText" dxfId="0" priority="233" operator="containsText" text="3000">
      <formula>NOT(ISERROR(SEARCH(("3000"),(U67))))</formula>
    </cfRule>
  </conditionalFormatting>
  <conditionalFormatting sqref="U69">
    <cfRule type="containsText" dxfId="0" priority="234" operator="containsText" text="3000">
      <formula>NOT(ISERROR(SEARCH(("3000"),(U69))))</formula>
    </cfRule>
  </conditionalFormatting>
  <conditionalFormatting sqref="U69">
    <cfRule type="containsText" dxfId="0" priority="235" operator="containsText" text="15600">
      <formula>NOT(ISERROR(SEARCH(("15600"),(U69))))</formula>
    </cfRule>
  </conditionalFormatting>
  <conditionalFormatting sqref="U23:U47 C25:C47 L25:L47 J83">
    <cfRule type="containsText" dxfId="0" priority="236" operator="containsText" text="5000">
      <formula>NOT(ISERROR(SEARCH(("5000"),(U23))))</formula>
    </cfRule>
  </conditionalFormatting>
  <conditionalFormatting sqref="J83">
    <cfRule type="containsText" dxfId="0" priority="237" operator="containsText" text="3000">
      <formula>NOT(ISERROR(SEARCH(("3000"),(J83))))</formula>
    </cfRule>
  </conditionalFormatting>
  <conditionalFormatting sqref="J83">
    <cfRule type="containsText" dxfId="0" priority="238" operator="containsText" text="15600">
      <formula>NOT(ISERROR(SEARCH(("15600"),(J83))))</formula>
    </cfRule>
  </conditionalFormatting>
  <conditionalFormatting sqref="J83">
    <cfRule type="containsText" dxfId="0" priority="239" operator="containsText" text="6700">
      <formula>NOT(ISERROR(SEARCH(("6700"),(J83))))</formula>
    </cfRule>
  </conditionalFormatting>
  <conditionalFormatting sqref="J83">
    <cfRule type="containsText" dxfId="0" priority="240" operator="containsText" text="15600">
      <formula>NOT(ISERROR(SEARCH(("15600"),(J83))))</formula>
    </cfRule>
  </conditionalFormatting>
  <conditionalFormatting sqref="U82:U83">
    <cfRule type="containsText" dxfId="0" priority="241" operator="containsText" text="3000">
      <formula>NOT(ISERROR(SEARCH(("3000"),(U82))))</formula>
    </cfRule>
  </conditionalFormatting>
  <conditionalFormatting sqref="U82:U83">
    <cfRule type="containsText" dxfId="0" priority="242" operator="containsText" text="3000">
      <formula>NOT(ISERROR(SEARCH(("3000"),(U82))))</formula>
    </cfRule>
  </conditionalFormatting>
  <conditionalFormatting sqref="U82:U83">
    <cfRule type="containsText" dxfId="0" priority="243" operator="containsText" text="15600">
      <formula>NOT(ISERROR(SEARCH(("15600"),(U82))))</formula>
    </cfRule>
  </conditionalFormatting>
  <conditionalFormatting sqref="U82:U83">
    <cfRule type="containsText" dxfId="0" priority="244" operator="containsText" text="7500">
      <formula>NOT(ISERROR(SEARCH(("7500"),(U82))))</formula>
    </cfRule>
  </conditionalFormatting>
  <conditionalFormatting sqref="U82:U83">
    <cfRule type="containsText" dxfId="0" priority="245" operator="containsText" text="7500">
      <formula>NOT(ISERROR(SEARCH(("7500"),(U82))))</formula>
    </cfRule>
  </conditionalFormatting>
  <conditionalFormatting sqref="U82:U83">
    <cfRule type="containsText" dxfId="0" priority="246" operator="containsText" text="3000">
      <formula>NOT(ISERROR(SEARCH(("3000"),(U82))))</formula>
    </cfRule>
  </conditionalFormatting>
  <conditionalFormatting sqref="U82:U83">
    <cfRule type="containsText" dxfId="0" priority="247" operator="containsText" text="3000">
      <formula>NOT(ISERROR(SEARCH(("3000"),(U82))))</formula>
    </cfRule>
  </conditionalFormatting>
  <conditionalFormatting sqref="U82:U83">
    <cfRule type="containsText" dxfId="0" priority="248" operator="containsText" text="15600">
      <formula>NOT(ISERROR(SEARCH(("15600"),(U82))))</formula>
    </cfRule>
  </conditionalFormatting>
  <conditionalFormatting sqref="U82:U83">
    <cfRule type="containsText" dxfId="0" priority="249" operator="containsText" text="15600">
      <formula>NOT(ISERROR(SEARCH(("15600"),(U82))))</formula>
    </cfRule>
  </conditionalFormatting>
  <conditionalFormatting sqref="U82:U83">
    <cfRule type="containsText" dxfId="0" priority="250" operator="containsText" text="6700">
      <formula>NOT(ISERROR(SEARCH(("6700"),(U82))))</formula>
    </cfRule>
  </conditionalFormatting>
  <conditionalFormatting sqref="U79">
    <cfRule type="containsText" dxfId="0" priority="251" operator="containsText" text="15600">
      <formula>NOT(ISERROR(SEARCH(("15600"),(U79))))</formula>
    </cfRule>
  </conditionalFormatting>
  <conditionalFormatting sqref="U70">
    <cfRule type="containsText" dxfId="0" priority="252" operator="containsText" text="15600">
      <formula>NOT(ISERROR(SEARCH(("15600"),(U70))))</formula>
    </cfRule>
  </conditionalFormatting>
  <conditionalFormatting sqref="U71">
    <cfRule type="containsText" dxfId="0" priority="253" operator="containsText" text="3000">
      <formula>NOT(ISERROR(SEARCH(("3000"),(U71))))</formula>
    </cfRule>
  </conditionalFormatting>
  <conditionalFormatting sqref="U44:U88 C46:C88 L46:L88">
    <cfRule type="containsText" dxfId="0" priority="254" operator="containsText" text="6700">
      <formula>NOT(ISERROR(SEARCH(("6700"),(U44))))</formula>
    </cfRule>
  </conditionalFormatting>
  <conditionalFormatting sqref="U71:U76 C74:C76 L74:L76 U80:U81 C83:C84 L83:L84 U83:U85 C87:C88 L87:L88 U87:U88">
    <cfRule type="containsText" dxfId="0" priority="255" operator="containsText" text="15600">
      <formula>NOT(ISERROR(SEARCH(("15600"),(U71))))</formula>
    </cfRule>
  </conditionalFormatting>
  <conditionalFormatting sqref="U77:U90 C80:C90 L80:L90">
    <cfRule type="containsText" dxfId="0" priority="256" operator="containsText" text="7500">
      <formula>NOT(ISERROR(SEARCH(("7500"),(U77))))</formula>
    </cfRule>
  </conditionalFormatting>
  <conditionalFormatting sqref="C52 L52 U52 U77:U90 C80:C90 L80:L90">
    <cfRule type="containsText" dxfId="0" priority="257" operator="containsText" text="10000">
      <formula>NOT(ISERROR(SEARCH(("10000"),(C52))))</formula>
    </cfRule>
  </conditionalFormatting>
  <conditionalFormatting sqref="U77:U90 C80:C90 L80:L90">
    <cfRule type="containsText" dxfId="0" priority="258" operator="containsText" text="15600">
      <formula>NOT(ISERROR(SEARCH(("15600"),(U77))))</formula>
    </cfRule>
  </conditionalFormatting>
  <conditionalFormatting sqref="S77:S90 U77:U90 C80:C90 J80:J90 L80:L90">
    <cfRule type="containsText" dxfId="0" priority="259" operator="containsText" text="15600">
      <formula>NOT(ISERROR(SEARCH(("15600"),(S77))))</formula>
    </cfRule>
  </conditionalFormatting>
  <conditionalFormatting sqref="S77:S90 U77:U90 C80:C90 J80:J90 L80:L90">
    <cfRule type="containsText" dxfId="0" priority="260" operator="containsText" text="6700">
      <formula>NOT(ISERROR(SEARCH(("6700"),(S77))))</formula>
    </cfRule>
  </conditionalFormatting>
  <conditionalFormatting sqref="U77:U90 C80:C90 L80:L90">
    <cfRule type="containsText" dxfId="0" priority="261" operator="containsText" text="6700">
      <formula>NOT(ISERROR(SEARCH(("6700"),(U77))))</formula>
    </cfRule>
  </conditionalFormatting>
  <conditionalFormatting sqref="U44:U67 C46:C67 L46:L67 U77:U90 C80:C90 L80:L90">
    <cfRule type="containsText" dxfId="0" priority="262" operator="containsText" text="3000">
      <formula>NOT(ISERROR(SEARCH(("3000"),(U44))))</formula>
    </cfRule>
  </conditionalFormatting>
  <conditionalFormatting sqref="S77:S88 J80:J88">
    <cfRule type="containsText" dxfId="0" priority="263" operator="containsText" text="3000">
      <formula>NOT(ISERROR(SEARCH(("3000"),(S77))))</formula>
    </cfRule>
  </conditionalFormatting>
  <conditionalFormatting sqref="S77:S88 J80:J88">
    <cfRule type="containsText" dxfId="0" priority="264" operator="containsText" text="15600">
      <formula>NOT(ISERROR(SEARCH(("15600"),(S77))))</formula>
    </cfRule>
  </conditionalFormatting>
  <conditionalFormatting sqref="S77:S88 J80:J88">
    <cfRule type="containsText" dxfId="0" priority="265" operator="containsText" text="6700">
      <formula>NOT(ISERROR(SEARCH(("6700"),(S77))))</formula>
    </cfRule>
  </conditionalFormatting>
  <conditionalFormatting sqref="U77:U88 C80:C88 L80:L88">
    <cfRule type="containsText" dxfId="0" priority="266" operator="containsText" text="3000">
      <formula>NOT(ISERROR(SEARCH(("3000"),(U77))))</formula>
    </cfRule>
  </conditionalFormatting>
  <conditionalFormatting sqref="U72:U81 C75:C81 L75:L81">
    <cfRule type="containsText" dxfId="0" priority="267" operator="containsText" text="6700">
      <formula>NOT(ISERROR(SEARCH(("6700"),(U72))))</formula>
    </cfRule>
  </conditionalFormatting>
  <conditionalFormatting sqref="U72:U81 C75:C81 L75:L81">
    <cfRule type="containsText" dxfId="0" priority="268" operator="containsText" text="7500">
      <formula>NOT(ISERROR(SEARCH(("7500"),(U72))))</formula>
    </cfRule>
  </conditionalFormatting>
  <conditionalFormatting sqref="U72:U81 C75:C81 L75:L81 U108 C112 L112 U112">
    <cfRule type="containsText" dxfId="0" priority="269" operator="containsText" text="10000">
      <formula>NOT(ISERROR(SEARCH(("10000"),(U72))))</formula>
    </cfRule>
  </conditionalFormatting>
  <conditionalFormatting sqref="U72:U81 C75:C81 L75:L81">
    <cfRule type="containsText" dxfId="0" priority="270" operator="containsText" text="6700">
      <formula>NOT(ISERROR(SEARCH(("6700"),(U72))))</formula>
    </cfRule>
  </conditionalFormatting>
  <conditionalFormatting sqref="U72:U81 C75:C81 L75:L81">
    <cfRule type="containsText" dxfId="0" priority="271" operator="containsText" text="15600">
      <formula>NOT(ISERROR(SEARCH(("15600"),(U72))))</formula>
    </cfRule>
  </conditionalFormatting>
  <conditionalFormatting sqref="U72:U81 C75:C81 L75:L81">
    <cfRule type="containsText" dxfId="0" priority="272" operator="containsText" text="15600">
      <formula>NOT(ISERROR(SEARCH(("15600"),(U72))))</formula>
    </cfRule>
  </conditionalFormatting>
  <conditionalFormatting sqref="U72:U81 C75:C81 L75:L81">
    <cfRule type="containsText" dxfId="0" priority="273" operator="containsText" text="6700">
      <formula>NOT(ISERROR(SEARCH(("6700"),(U72))))</formula>
    </cfRule>
  </conditionalFormatting>
  <conditionalFormatting sqref="U72:U81 C75:C81 L75:L81 U108 C112 L112 U112">
    <cfRule type="containsText" dxfId="0" priority="274" operator="containsText" text="3000">
      <formula>NOT(ISERROR(SEARCH(("3000"),(U72))))</formula>
    </cfRule>
  </conditionalFormatting>
  <conditionalFormatting sqref="U69 C72 L72 U72">
    <cfRule type="containsText" dxfId="0" priority="275" operator="containsText" text="15600">
      <formula>NOT(ISERROR(SEARCH(("15600"),(U69))))</formula>
    </cfRule>
  </conditionalFormatting>
  <conditionalFormatting sqref="C84 L84 U84">
    <cfRule type="containsText" dxfId="0" priority="276" operator="containsText" text="15600">
      <formula>NOT(ISERROR(SEARCH(("15600"),(C84))))</formula>
    </cfRule>
  </conditionalFormatting>
  <conditionalFormatting sqref="U81 C84 L84 U84">
    <cfRule type="containsText" dxfId="0" priority="277" operator="containsText" text="3000">
      <formula>NOT(ISERROR(SEARCH(("3000"),(U81))))</formula>
    </cfRule>
  </conditionalFormatting>
  <conditionalFormatting sqref="U81 C84 L84 U84">
    <cfRule type="containsText" dxfId="0" priority="278" operator="containsText" text="7500">
      <formula>NOT(ISERROR(SEARCH(("7500"),(U81))))</formula>
    </cfRule>
  </conditionalFormatting>
  <conditionalFormatting sqref="U81 C84 L84 U84">
    <cfRule type="containsText" dxfId="0" priority="279" operator="containsText" text="3000">
      <formula>NOT(ISERROR(SEARCH(("3000"),(U81))))</formula>
    </cfRule>
  </conditionalFormatting>
  <conditionalFormatting sqref="U63:U72 C66:C72 L66:L72">
    <cfRule type="containsText" dxfId="0" priority="280" operator="containsText" text="3000">
      <formula>NOT(ISERROR(SEARCH(("3000"),(U63))))</formula>
    </cfRule>
  </conditionalFormatting>
  <conditionalFormatting sqref="U63:U72 C66:C72 L66:L72">
    <cfRule type="containsText" dxfId="0" priority="281" operator="containsText" text="3000">
      <formula>NOT(ISERROR(SEARCH(("3000"),(U63))))</formula>
    </cfRule>
  </conditionalFormatting>
  <conditionalFormatting sqref="U70">
    <cfRule type="containsText" dxfId="0" priority="282" operator="containsText" text="3000">
      <formula>NOT(ISERROR(SEARCH(("3000"),(U70))))</formula>
    </cfRule>
  </conditionalFormatting>
  <conditionalFormatting sqref="U78">
    <cfRule type="containsText" dxfId="0" priority="283" operator="containsText" text="7500">
      <formula>NOT(ISERROR(SEARCH(("7500"),(U78))))</formula>
    </cfRule>
  </conditionalFormatting>
  <conditionalFormatting sqref="U78">
    <cfRule type="containsText" dxfId="0" priority="284" operator="containsText" text="10000">
      <formula>NOT(ISERROR(SEARCH(("10000"),(U78))))</formula>
    </cfRule>
  </conditionalFormatting>
  <conditionalFormatting sqref="U78">
    <cfRule type="containsText" dxfId="0" priority="285" operator="containsText" text="6700">
      <formula>NOT(ISERROR(SEARCH(("6700"),(U78))))</formula>
    </cfRule>
  </conditionalFormatting>
  <conditionalFormatting sqref="U78">
    <cfRule type="containsText" dxfId="0" priority="286" operator="containsText" text="15600">
      <formula>NOT(ISERROR(SEARCH(("15600"),(U78))))</formula>
    </cfRule>
  </conditionalFormatting>
  <conditionalFormatting sqref="U78">
    <cfRule type="containsText" dxfId="0" priority="287" operator="containsText" text="15600">
      <formula>NOT(ISERROR(SEARCH(("15600"),(U78))))</formula>
    </cfRule>
  </conditionalFormatting>
  <conditionalFormatting sqref="U78">
    <cfRule type="containsText" dxfId="0" priority="288" operator="containsText" text="6700">
      <formula>NOT(ISERROR(SEARCH(("6700"),(U78))))</formula>
    </cfRule>
  </conditionalFormatting>
  <conditionalFormatting sqref="U78">
    <cfRule type="containsText" dxfId="0" priority="289" operator="containsText" text="3000">
      <formula>NOT(ISERROR(SEARCH(("3000"),(U78))))</formula>
    </cfRule>
  </conditionalFormatting>
  <conditionalFormatting sqref="U76:U83 C79:C82 L79:L82">
    <cfRule type="containsText" dxfId="0" priority="290" operator="containsText" text="3000">
      <formula>NOT(ISERROR(SEARCH(("3000"),(U76))))</formula>
    </cfRule>
  </conditionalFormatting>
  <conditionalFormatting sqref="U76:U83 C79:C82 L79:L82">
    <cfRule type="containsText" dxfId="0" priority="291" operator="containsText" text="6700">
      <formula>NOT(ISERROR(SEARCH(("6700"),(U76))))</formula>
    </cfRule>
  </conditionalFormatting>
  <conditionalFormatting sqref="U76:U83 C79:C82 L79:L82">
    <cfRule type="containsText" dxfId="0" priority="292" operator="containsText" text="15600">
      <formula>NOT(ISERROR(SEARCH(("15600"),(U76))))</formula>
    </cfRule>
  </conditionalFormatting>
  <conditionalFormatting sqref="U76:U83 C79:C82 L79:L82">
    <cfRule type="containsText" dxfId="0" priority="293" operator="containsText" text="15600">
      <formula>NOT(ISERROR(SEARCH(("15600"),(U76))))</formula>
    </cfRule>
  </conditionalFormatting>
  <conditionalFormatting sqref="U76:U83 C79:C82 L79:L82">
    <cfRule type="containsText" dxfId="0" priority="294" operator="containsText" text="6700">
      <formula>NOT(ISERROR(SEARCH(("6700"),(U76))))</formula>
    </cfRule>
  </conditionalFormatting>
  <conditionalFormatting sqref="U76:U83 C79:C82 L79:L82">
    <cfRule type="containsText" dxfId="0" priority="295" operator="containsText" text="10000">
      <formula>NOT(ISERROR(SEARCH(("10000"),(U76))))</formula>
    </cfRule>
  </conditionalFormatting>
  <conditionalFormatting sqref="U76:U83 C79:C82 L79:L82">
    <cfRule type="containsText" dxfId="0" priority="296" operator="containsText" text="7500">
      <formula>NOT(ISERROR(SEARCH(("7500"),(U76))))</formula>
    </cfRule>
  </conditionalFormatting>
  <conditionalFormatting sqref="U76:U83 C79:C82 L79:L82">
    <cfRule type="containsText" dxfId="0" priority="297" operator="containsText" text="6700">
      <formula>NOT(ISERROR(SEARCH(("6700"),(U76))))</formula>
    </cfRule>
  </conditionalFormatting>
  <conditionalFormatting sqref="U76:U83 C79:C82 L79:L82">
    <cfRule type="containsText" dxfId="0" priority="298" operator="containsText" text="15600">
      <formula>NOT(ISERROR(SEARCH(("15600"),(U76))))</formula>
    </cfRule>
  </conditionalFormatting>
  <conditionalFormatting sqref="U84">
    <cfRule type="containsText" dxfId="0" priority="299" operator="containsText" text="15600">
      <formula>NOT(ISERROR(SEARCH(("15600"),(U84))))</formula>
    </cfRule>
  </conditionalFormatting>
  <conditionalFormatting sqref="S84 U84">
    <cfRule type="containsText" dxfId="0" priority="300" operator="containsText" text="10000">
      <formula>NOT(ISERROR(SEARCH(("10000"),(S84))))</formula>
    </cfRule>
  </conditionalFormatting>
  <conditionalFormatting sqref="S84 U84">
    <cfRule type="containsText" dxfId="0" priority="301" operator="containsText" text="7500">
      <formula>NOT(ISERROR(SEARCH(("7500"),(S84))))</formula>
    </cfRule>
  </conditionalFormatting>
  <conditionalFormatting sqref="S84 U84">
    <cfRule type="containsText" dxfId="0" priority="302" operator="containsText" text="15600">
      <formula>NOT(ISERROR(SEARCH(("15600"),(S84))))</formula>
    </cfRule>
  </conditionalFormatting>
  <conditionalFormatting sqref="S84 U84">
    <cfRule type="containsText" dxfId="0" priority="303" operator="containsText" text="6700">
      <formula>NOT(ISERROR(SEARCH(("6700"),(S84))))</formula>
    </cfRule>
  </conditionalFormatting>
  <conditionalFormatting sqref="U84">
    <cfRule type="containsText" dxfId="0" priority="304" operator="containsText" text="3000">
      <formula>NOT(ISERROR(SEARCH(("3000"),(U84))))</formula>
    </cfRule>
  </conditionalFormatting>
  <conditionalFormatting sqref="U84">
    <cfRule type="containsText" dxfId="0" priority="305" operator="containsText" text="6700">
      <formula>NOT(ISERROR(SEARCH(("6700"),(U84))))</formula>
    </cfRule>
  </conditionalFormatting>
  <conditionalFormatting sqref="S84 U84">
    <cfRule type="containsText" dxfId="0" priority="306" operator="containsText" text="6700">
      <formula>NOT(ISERROR(SEARCH(("6700"),(S84))))</formula>
    </cfRule>
  </conditionalFormatting>
  <conditionalFormatting sqref="S84">
    <cfRule type="containsText" dxfId="0" priority="307" operator="containsText" text="3000">
      <formula>NOT(ISERROR(SEARCH(("3000"),(S84))))</formula>
    </cfRule>
  </conditionalFormatting>
  <conditionalFormatting sqref="S84">
    <cfRule type="containsText" dxfId="0" priority="308" operator="containsText" text="15600">
      <formula>NOT(ISERROR(SEARCH(("15600"),(S84))))</formula>
    </cfRule>
  </conditionalFormatting>
  <conditionalFormatting sqref="S84">
    <cfRule type="containsText" dxfId="0" priority="309" operator="containsText" text="6700">
      <formula>NOT(ISERROR(SEARCH(("6700"),(S84))))</formula>
    </cfRule>
  </conditionalFormatting>
  <conditionalFormatting sqref="S84">
    <cfRule type="containsText" dxfId="0" priority="310" operator="containsText" text="15600">
      <formula>NOT(ISERROR(SEARCH(("15600"),(S84))))</formula>
    </cfRule>
  </conditionalFormatting>
  <conditionalFormatting sqref="S84">
    <cfRule type="containsText" dxfId="0" priority="311" operator="containsText" text="5000">
      <formula>NOT(ISERROR(SEARCH(("5000"),(S84))))</formula>
    </cfRule>
  </conditionalFormatting>
  <conditionalFormatting sqref="S84 U84">
    <cfRule type="containsText" dxfId="0" priority="312" operator="containsText" text="15600">
      <formula>NOT(ISERROR(SEARCH(("15600"),(S84))))</formula>
    </cfRule>
  </conditionalFormatting>
  <conditionalFormatting sqref="U87">
    <cfRule type="containsText" dxfId="0" priority="313" operator="containsText" text="6700">
      <formula>NOT(ISERROR(SEARCH(("6700"),(U87))))</formula>
    </cfRule>
  </conditionalFormatting>
  <conditionalFormatting sqref="S37:S40 J39:J40 U39:U66 C41:C65 L41:L65 U70 U73">
    <cfRule type="containsText" dxfId="0" priority="314" operator="containsText" text="3000">
      <formula>NOT(ISERROR(SEARCH(("3000"),(S37))))</formula>
    </cfRule>
  </conditionalFormatting>
  <conditionalFormatting sqref="U70">
    <cfRule type="containsText" dxfId="0" priority="315" operator="containsText" text="3000">
      <formula>NOT(ISERROR(SEARCH(("3000"),(U70))))</formula>
    </cfRule>
  </conditionalFormatting>
  <conditionalFormatting sqref="U72">
    <cfRule type="containsText" dxfId="0" priority="316" operator="containsText" text="3000">
      <formula>NOT(ISERROR(SEARCH(("3000"),(U72))))</formula>
    </cfRule>
  </conditionalFormatting>
  <conditionalFormatting sqref="U33:U89 C35:C89 L35:L89 S63:S89 J66:J89 U120">
    <cfRule type="containsText" dxfId="0" priority="317" operator="containsText" text="6700">
      <formula>NOT(ISERROR(SEARCH(("6700"),(U33))))</formula>
    </cfRule>
  </conditionalFormatting>
  <conditionalFormatting sqref="U33:U44 S34:S38 C35:C44 L35:L44 J36:J38 S44:S47 J46:J47">
    <cfRule type="containsText" dxfId="0" priority="318" operator="containsText" text="7500">
      <formula>NOT(ISERROR(SEARCH(("7500"),(U33))))</formula>
    </cfRule>
  </conditionalFormatting>
  <conditionalFormatting sqref="J46:J47">
    <cfRule type="containsText" dxfId="0" priority="319" operator="containsText" text="10000">
      <formula>NOT(ISERROR(SEARCH(("10000"),(J46))))</formula>
    </cfRule>
  </conditionalFormatting>
  <conditionalFormatting sqref="U80">
    <cfRule type="containsText" dxfId="0" priority="320" operator="containsText" text="6700">
      <formula>NOT(ISERROR(SEARCH(("6700"),(U80))))</formula>
    </cfRule>
  </conditionalFormatting>
  <conditionalFormatting sqref="J3:J9 S3:S9 U66:U77 C69:C77 L69:L77 U108 C112 L112 U112">
    <cfRule type="containsText" dxfId="0" priority="321" operator="containsText" text="15600">
      <formula>NOT(ISERROR(SEARCH(("15600"),(J3))))</formula>
    </cfRule>
  </conditionalFormatting>
  <conditionalFormatting sqref="U80">
    <cfRule type="containsText" dxfId="0" priority="322" operator="containsText" text="15600">
      <formula>NOT(ISERROR(SEARCH(("15600"),(U80))))</formula>
    </cfRule>
  </conditionalFormatting>
  <conditionalFormatting sqref="U80">
    <cfRule type="containsText" dxfId="0" priority="323" operator="containsText" text="6700">
      <formula>NOT(ISERROR(SEARCH(("6700"),(U80))))</formula>
    </cfRule>
  </conditionalFormatting>
  <conditionalFormatting sqref="U80">
    <cfRule type="containsText" dxfId="0" priority="324" operator="containsText" text="3000">
      <formula>NOT(ISERROR(SEARCH(("3000"),(U80))))</formula>
    </cfRule>
  </conditionalFormatting>
  <conditionalFormatting sqref="U43:U67 C45:C67 L45:L67">
    <cfRule type="containsText" dxfId="0" priority="325" operator="containsText" text="3000">
      <formula>NOT(ISERROR(SEARCH(("3000"),(U43))))</formula>
    </cfRule>
  </conditionalFormatting>
  <conditionalFormatting sqref="U34:U90 C36:C90 L36:L90">
    <cfRule type="containsText" dxfId="0" priority="326" operator="containsText" text="6700">
      <formula>NOT(ISERROR(SEARCH(("6700"),(U34))))</formula>
    </cfRule>
  </conditionalFormatting>
  <conditionalFormatting sqref="U69:U77 C72:C77 L72:L77 U79:U89 C82:C89 L82:L89">
    <cfRule type="containsText" dxfId="0" priority="327" operator="containsText" text="15600">
      <formula>NOT(ISERROR(SEARCH(("15600"),(U69))))</formula>
    </cfRule>
  </conditionalFormatting>
  <conditionalFormatting sqref="U79:U89 C82:C89 L82:L89">
    <cfRule type="containsText" dxfId="0" priority="328" operator="containsText" text="6700">
      <formula>NOT(ISERROR(SEARCH(("6700"),(U79))))</formula>
    </cfRule>
  </conditionalFormatting>
  <conditionalFormatting sqref="U38:U44 C40:C44 L40:L44">
    <cfRule type="containsText" dxfId="0" priority="329" operator="containsText" text="7500">
      <formula>NOT(ISERROR(SEARCH(("7500"),(U38))))</formula>
    </cfRule>
  </conditionalFormatting>
  <conditionalFormatting sqref="U84">
    <cfRule type="containsText" dxfId="0" priority="330" operator="containsText" text="3000">
      <formula>NOT(ISERROR(SEARCH(("3000"),(U84))))</formula>
    </cfRule>
  </conditionalFormatting>
  <conditionalFormatting sqref="U84">
    <cfRule type="containsText" dxfId="0" priority="331" operator="containsText" text="15600">
      <formula>NOT(ISERROR(SEARCH(("15600"),(U84))))</formula>
    </cfRule>
  </conditionalFormatting>
  <conditionalFormatting sqref="U80">
    <cfRule type="containsText" dxfId="0" priority="332" operator="containsText" text="3000">
      <formula>NOT(ISERROR(SEARCH(("3000"),(U80))))</formula>
    </cfRule>
  </conditionalFormatting>
  <conditionalFormatting sqref="U80">
    <cfRule type="containsText" dxfId="0" priority="333" operator="containsText" text="7500">
      <formula>NOT(ISERROR(SEARCH(("7500"),(U80))))</formula>
    </cfRule>
  </conditionalFormatting>
  <conditionalFormatting sqref="U80">
    <cfRule type="containsText" dxfId="0" priority="334" operator="containsText" text="6700">
      <formula>NOT(ISERROR(SEARCH(("6700"),(U80))))</formula>
    </cfRule>
  </conditionalFormatting>
  <conditionalFormatting sqref="U80">
    <cfRule type="containsText" dxfId="0" priority="335" operator="containsText" text="15600">
      <formula>NOT(ISERROR(SEARCH(("15600"),(U80))))</formula>
    </cfRule>
  </conditionalFormatting>
  <conditionalFormatting sqref="U80">
    <cfRule type="containsText" dxfId="0" priority="336" operator="containsText" text="15600">
      <formula>NOT(ISERROR(SEARCH(("15600"),(U80))))</formula>
    </cfRule>
  </conditionalFormatting>
  <conditionalFormatting sqref="U80">
    <cfRule type="containsText" dxfId="0" priority="337" operator="containsText" text="6700">
      <formula>NOT(ISERROR(SEARCH(("6700"),(U80))))</formula>
    </cfRule>
  </conditionalFormatting>
  <conditionalFormatting sqref="U80">
    <cfRule type="containsText" dxfId="0" priority="338" operator="containsText" text="10000">
      <formula>NOT(ISERROR(SEARCH(("10000"),(U80))))</formula>
    </cfRule>
  </conditionalFormatting>
  <conditionalFormatting sqref="U80">
    <cfRule type="containsText" dxfId="0" priority="339" operator="containsText" text="3000">
      <formula>NOT(ISERROR(SEARCH(("3000"),(U80))))</formula>
    </cfRule>
  </conditionalFormatting>
  <conditionalFormatting sqref="U80">
    <cfRule type="containsText" dxfId="0" priority="340" operator="containsText" text="15600">
      <formula>NOT(ISERROR(SEARCH(("15600"),(U80))))</formula>
    </cfRule>
  </conditionalFormatting>
  <conditionalFormatting sqref="U80">
    <cfRule type="containsText" dxfId="0" priority="341" operator="containsText" text="7500">
      <formula>NOT(ISERROR(SEARCH(("7500"),(U80))))</formula>
    </cfRule>
  </conditionalFormatting>
  <conditionalFormatting sqref="U80">
    <cfRule type="containsText" dxfId="0" priority="342" operator="containsText" text="6700">
      <formula>NOT(ISERROR(SEARCH(("6700"),(U80))))</formula>
    </cfRule>
  </conditionalFormatting>
  <conditionalFormatting sqref="U80">
    <cfRule type="containsText" dxfId="0" priority="343" operator="containsText" text="15600">
      <formula>NOT(ISERROR(SEARCH(("15600"),(U80))))</formula>
    </cfRule>
  </conditionalFormatting>
  <conditionalFormatting sqref="U80">
    <cfRule type="containsText" dxfId="0" priority="344" operator="containsText" text="6700">
      <formula>NOT(ISERROR(SEARCH(("6700"),(U80))))</formula>
    </cfRule>
  </conditionalFormatting>
  <conditionalFormatting sqref="U80">
    <cfRule type="containsText" dxfId="0" priority="345" operator="containsText" text="6700">
      <formula>NOT(ISERROR(SEARCH(("6700"),(U80))))</formula>
    </cfRule>
  </conditionalFormatting>
  <conditionalFormatting sqref="U80">
    <cfRule type="containsText" dxfId="0" priority="346" operator="containsText" text="15600">
      <formula>NOT(ISERROR(SEARCH(("15600"),(U80))))</formula>
    </cfRule>
  </conditionalFormatting>
  <conditionalFormatting sqref="U80">
    <cfRule type="containsText" dxfId="0" priority="347" operator="containsText" text="15600">
      <formula>NOT(ISERROR(SEARCH(("15600"),(U80))))</formula>
    </cfRule>
  </conditionalFormatting>
  <conditionalFormatting sqref="U80">
    <cfRule type="containsText" dxfId="0" priority="348" operator="containsText" text="6700">
      <formula>NOT(ISERROR(SEARCH(("6700"),(U80))))</formula>
    </cfRule>
  </conditionalFormatting>
  <conditionalFormatting sqref="U80">
    <cfRule type="containsText" dxfId="0" priority="349" operator="containsText" text="10000">
      <formula>NOT(ISERROR(SEARCH(("10000"),(U80))))</formula>
    </cfRule>
  </conditionalFormatting>
  <conditionalFormatting sqref="U80">
    <cfRule type="containsText" dxfId="0" priority="350" operator="containsText" text="15600">
      <formula>NOT(ISERROR(SEARCH(("15600"),(U80))))</formula>
    </cfRule>
  </conditionalFormatting>
  <conditionalFormatting sqref="U80">
    <cfRule type="containsText" dxfId="0" priority="351" operator="containsText" text="6700">
      <formula>NOT(ISERROR(SEARCH(("6700"),(U80))))</formula>
    </cfRule>
  </conditionalFormatting>
  <conditionalFormatting sqref="U79">
    <cfRule type="containsText" dxfId="0" priority="352" operator="containsText" text="3000">
      <formula>NOT(ISERROR(SEARCH(("3000"),(U79))))</formula>
    </cfRule>
  </conditionalFormatting>
  <conditionalFormatting sqref="U79">
    <cfRule type="containsText" dxfId="0" priority="353" operator="containsText" text="6700">
      <formula>NOT(ISERROR(SEARCH(("6700"),(U79))))</formula>
    </cfRule>
  </conditionalFormatting>
  <conditionalFormatting sqref="U79">
    <cfRule type="containsText" dxfId="0" priority="354" operator="containsText" text="15600">
      <formula>NOT(ISERROR(SEARCH(("15600"),(U79))))</formula>
    </cfRule>
  </conditionalFormatting>
  <conditionalFormatting sqref="U79">
    <cfRule type="containsText" dxfId="0" priority="355" operator="containsText" text="15600">
      <formula>NOT(ISERROR(SEARCH(("15600"),(U79))))</formula>
    </cfRule>
  </conditionalFormatting>
  <conditionalFormatting sqref="U79">
    <cfRule type="containsText" dxfId="0" priority="356" operator="containsText" text="6700">
      <formula>NOT(ISERROR(SEARCH(("6700"),(U79))))</formula>
    </cfRule>
  </conditionalFormatting>
  <conditionalFormatting sqref="U79">
    <cfRule type="containsText" dxfId="0" priority="357" operator="containsText" text="10000">
      <formula>NOT(ISERROR(SEARCH(("10000"),(U79))))</formula>
    </cfRule>
  </conditionalFormatting>
  <conditionalFormatting sqref="U79">
    <cfRule type="containsText" dxfId="0" priority="358" operator="containsText" text="15600">
      <formula>NOT(ISERROR(SEARCH(("15600"),(U79))))</formula>
    </cfRule>
  </conditionalFormatting>
  <conditionalFormatting sqref="U79">
    <cfRule type="containsText" dxfId="0" priority="359" operator="containsText" text="7500">
      <formula>NOT(ISERROR(SEARCH(("7500"),(U79))))</formula>
    </cfRule>
  </conditionalFormatting>
  <conditionalFormatting sqref="U79">
    <cfRule type="containsText" dxfId="0" priority="360" operator="containsText" text="6700">
      <formula>NOT(ISERROR(SEARCH(("6700"),(U79))))</formula>
    </cfRule>
  </conditionalFormatting>
  <conditionalFormatting sqref="U79">
    <cfRule type="containsText" dxfId="0" priority="361" operator="containsText" text="15600">
      <formula>NOT(ISERROR(SEARCH(("15600"),(U79))))</formula>
    </cfRule>
  </conditionalFormatting>
  <conditionalFormatting sqref="U79">
    <cfRule type="containsText" dxfId="0" priority="362" operator="containsText" text="6700">
      <formula>NOT(ISERROR(SEARCH(("6700"),(U79))))</formula>
    </cfRule>
  </conditionalFormatting>
  <conditionalFormatting sqref="U72">
    <cfRule type="containsText" dxfId="0" priority="363" operator="containsText" text="3000">
      <formula>NOT(ISERROR(SEARCH(("3000"),(U72))))</formula>
    </cfRule>
  </conditionalFormatting>
  <conditionalFormatting sqref="U70">
    <cfRule type="containsText" dxfId="0" priority="364" operator="containsText" text="3000">
      <formula>NOT(ISERROR(SEARCH(("3000"),(U70))))</formula>
    </cfRule>
  </conditionalFormatting>
  <conditionalFormatting sqref="U74">
    <cfRule type="containsText" dxfId="0" priority="365" operator="containsText" text="3000">
      <formula>NOT(ISERROR(SEARCH(("3000"),(U74))))</formula>
    </cfRule>
  </conditionalFormatting>
  <conditionalFormatting sqref="U72">
    <cfRule type="containsText" dxfId="0" priority="366" operator="containsText" text="3000">
      <formula>NOT(ISERROR(SEARCH(("3000"),(U72))))</formula>
    </cfRule>
  </conditionalFormatting>
  <conditionalFormatting sqref="U79 U81">
    <cfRule type="containsText" dxfId="0" priority="367" operator="containsText" text="3000">
      <formula>NOT(ISERROR(SEARCH(("3000"),(U79))))</formula>
    </cfRule>
  </conditionalFormatting>
  <conditionalFormatting sqref="U79 U81">
    <cfRule type="containsText" dxfId="0" priority="368" operator="containsText" text="6700">
      <formula>NOT(ISERROR(SEARCH(("6700"),(U79))))</formula>
    </cfRule>
  </conditionalFormatting>
  <conditionalFormatting sqref="U79 U81">
    <cfRule type="containsText" dxfId="0" priority="369" operator="containsText" text="15600">
      <formula>NOT(ISERROR(SEARCH(("15600"),(U79))))</formula>
    </cfRule>
  </conditionalFormatting>
  <conditionalFormatting sqref="U79 U81">
    <cfRule type="containsText" dxfId="0" priority="370" operator="containsText" text="15600">
      <formula>NOT(ISERROR(SEARCH(("15600"),(U79))))</formula>
    </cfRule>
  </conditionalFormatting>
  <conditionalFormatting sqref="U79 U81">
    <cfRule type="containsText" dxfId="0" priority="371" operator="containsText" text="6700">
      <formula>NOT(ISERROR(SEARCH(("6700"),(U79))))</formula>
    </cfRule>
  </conditionalFormatting>
  <conditionalFormatting sqref="U79 U81">
    <cfRule type="containsText" dxfId="0" priority="372" operator="containsText" text="10000">
      <formula>NOT(ISERROR(SEARCH(("10000"),(U79))))</formula>
    </cfRule>
  </conditionalFormatting>
  <conditionalFormatting sqref="U76:U86 C79:C82 L79:L82">
    <cfRule type="containsText" dxfId="0" priority="373" operator="containsText" text="15600">
      <formula>NOT(ISERROR(SEARCH(("15600"),(U76))))</formula>
    </cfRule>
  </conditionalFormatting>
  <conditionalFormatting sqref="U79 U81">
    <cfRule type="containsText" dxfId="0" priority="374" operator="containsText" text="7500">
      <formula>NOT(ISERROR(SEARCH(("7500"),(U79))))</formula>
    </cfRule>
  </conditionalFormatting>
  <conditionalFormatting sqref="U79 U81">
    <cfRule type="containsText" dxfId="0" priority="375" operator="containsText" text="6700">
      <formula>NOT(ISERROR(SEARCH(("6700"),(U79))))</formula>
    </cfRule>
  </conditionalFormatting>
  <conditionalFormatting sqref="U79 U81">
    <cfRule type="containsText" dxfId="0" priority="376" operator="containsText" text="15600">
      <formula>NOT(ISERROR(SEARCH(("15600"),(U79))))</formula>
    </cfRule>
  </conditionalFormatting>
  <conditionalFormatting sqref="U76:U86 C79:C82 L79:L82">
    <cfRule type="containsText" dxfId="0" priority="377" operator="containsText" text="6700">
      <formula>NOT(ISERROR(SEARCH(("6700"),(U76))))</formula>
    </cfRule>
  </conditionalFormatting>
  <conditionalFormatting sqref="U78:U88 C81:C88 L81:L88">
    <cfRule type="containsText" dxfId="0" priority="378" operator="containsText" text="3000">
      <formula>NOT(ISERROR(SEARCH(("3000"),(U78))))</formula>
    </cfRule>
  </conditionalFormatting>
  <conditionalFormatting sqref="U78:U88 C81:C88 L81:L88">
    <cfRule type="containsText" dxfId="0" priority="379" operator="containsText" text="6700">
      <formula>NOT(ISERROR(SEARCH(("6700"),(U78))))</formula>
    </cfRule>
  </conditionalFormatting>
  <conditionalFormatting sqref="U78:U88 C81:C88 L81:L88">
    <cfRule type="containsText" dxfId="0" priority="380" operator="containsText" text="15600">
      <formula>NOT(ISERROR(SEARCH(("15600"),(U78))))</formula>
    </cfRule>
  </conditionalFormatting>
  <conditionalFormatting sqref="U78:U88 C81:C88 L81:L88">
    <cfRule type="containsText" dxfId="0" priority="381" operator="containsText" text="15600">
      <formula>NOT(ISERROR(SEARCH(("15600"),(U78))))</formula>
    </cfRule>
  </conditionalFormatting>
  <conditionalFormatting sqref="U78:U88 C81:C88 L81:L88">
    <cfRule type="containsText" dxfId="0" priority="382" operator="containsText" text="6700">
      <formula>NOT(ISERROR(SEARCH(("6700"),(U78))))</formula>
    </cfRule>
  </conditionalFormatting>
  <conditionalFormatting sqref="U78:U88 C81:C88 L81:L88">
    <cfRule type="containsText" dxfId="0" priority="383" operator="containsText" text="10000">
      <formula>NOT(ISERROR(SEARCH(("10000"),(U78))))</formula>
    </cfRule>
  </conditionalFormatting>
  <conditionalFormatting sqref="U72:U88 C75:C88 L75:L88 U108 C112 L112 U112">
    <cfRule type="containsText" dxfId="0" priority="384" operator="containsText" text="15600">
      <formula>NOT(ISERROR(SEARCH(("15600"),(U72))))</formula>
    </cfRule>
  </conditionalFormatting>
  <conditionalFormatting sqref="U78:U88 C81:C88 L81:L88">
    <cfRule type="containsText" dxfId="0" priority="385" operator="containsText" text="7500">
      <formula>NOT(ISERROR(SEARCH(("7500"),(U78))))</formula>
    </cfRule>
  </conditionalFormatting>
  <conditionalFormatting sqref="U78:U88 C81:C88 L81:L88">
    <cfRule type="containsText" dxfId="0" priority="386" operator="containsText" text="6700">
      <formula>NOT(ISERROR(SEARCH(("6700"),(U78))))</formula>
    </cfRule>
  </conditionalFormatting>
  <conditionalFormatting sqref="U90:U97 C93:C97 L93:L97 U99 C103 L103 U103 U121">
    <cfRule type="containsText" dxfId="0" priority="387" operator="containsText" text="3000">
      <formula>NOT(ISERROR(SEARCH(("3000"),(U90))))</formula>
    </cfRule>
  </conditionalFormatting>
  <conditionalFormatting sqref="C93:C97 L93:L97 U93:U97 C103 L103 U103">
    <cfRule type="containsText" dxfId="0" priority="388" operator="containsText" text="6700">
      <formula>NOT(ISERROR(SEARCH(("6700"),(C93))))</formula>
    </cfRule>
  </conditionalFormatting>
  <conditionalFormatting sqref="C93:C97 L93:L97 U93:U97 C103 L103 U103">
    <cfRule type="containsText" dxfId="0" priority="389" operator="containsText" text="15600">
      <formula>NOT(ISERROR(SEARCH(("15600"),(C93))))</formula>
    </cfRule>
  </conditionalFormatting>
  <conditionalFormatting sqref="C93:C97 L93:L97 U93:U97 C103 L103 U103">
    <cfRule type="containsText" dxfId="0" priority="390" operator="containsText" text="15600">
      <formula>NOT(ISERROR(SEARCH(("15600"),(C93))))</formula>
    </cfRule>
  </conditionalFormatting>
  <conditionalFormatting sqref="U90 C93 L93 U93 U99 C103 L103 U103">
    <cfRule type="containsText" dxfId="0" priority="391" operator="containsText" text="15600">
      <formula>NOT(ISERROR(SEARCH(("15600"),(U90))))</formula>
    </cfRule>
  </conditionalFormatting>
  <conditionalFormatting sqref="U90 C93 L93 U93 U99 C103 L103 U103">
    <cfRule type="containsText" dxfId="0" priority="392" operator="containsText" text="6700">
      <formula>NOT(ISERROR(SEARCH(("6700"),(U90))))</formula>
    </cfRule>
  </conditionalFormatting>
  <conditionalFormatting sqref="C93:C97 L93:L97 U93:U97 C103 L103 U103">
    <cfRule type="containsText" dxfId="0" priority="393" operator="containsText" text="6700">
      <formula>NOT(ISERROR(SEARCH(("6700"),(C93))))</formula>
    </cfRule>
  </conditionalFormatting>
  <conditionalFormatting sqref="C93:C97 L93:L97 U93:U97 C103 L103 U103">
    <cfRule type="containsText" dxfId="0" priority="394" operator="containsText" text="15600">
      <formula>NOT(ISERROR(SEARCH(("15600"),(C93))))</formula>
    </cfRule>
  </conditionalFormatting>
  <conditionalFormatting sqref="C93:C97 L93:L97 U93:U97 C103 L103 U103">
    <cfRule type="containsText" dxfId="0" priority="395" operator="containsText" text="10000">
      <formula>NOT(ISERROR(SEARCH(("10000"),(C93))))</formula>
    </cfRule>
  </conditionalFormatting>
  <conditionalFormatting sqref="U90:U97 C93:C97 L93:L97 U99 C103 L103 U103 U121">
    <cfRule type="containsText" dxfId="0" priority="396" operator="containsText" text="7500">
      <formula>NOT(ISERROR(SEARCH(("7500"),(U90))))</formula>
    </cfRule>
  </conditionalFormatting>
  <conditionalFormatting sqref="C93:C97 L93:L97 U93:U97 C103 L103 U103">
    <cfRule type="containsText" dxfId="0" priority="397" operator="containsText" text="6700">
      <formula>NOT(ISERROR(SEARCH(("6700"),(C93))))</formula>
    </cfRule>
  </conditionalFormatting>
  <conditionalFormatting sqref="U72">
    <cfRule type="containsText" dxfId="0" priority="398" operator="containsText" text="3000">
      <formula>NOT(ISERROR(SEARCH(("3000"),(U72))))</formula>
    </cfRule>
  </conditionalFormatting>
  <conditionalFormatting sqref="U66:U80 C69:C79 L69:L79 U108 C112 L112 U112">
    <cfRule type="containsText" dxfId="0" priority="399" operator="containsText" text="3000">
      <formula>NOT(ISERROR(SEARCH(("3000"),(U66))))</formula>
    </cfRule>
  </conditionalFormatting>
  <conditionalFormatting sqref="U30:U92 C32:C92 L32:L94 S55:S64 J57:J65 U99 C103 L103 U103 S120 U120:U121">
    <cfRule type="containsText" dxfId="0" priority="400" operator="containsText" text="15600">
      <formula>NOT(ISERROR(SEARCH(("15600"),(U30))))</formula>
    </cfRule>
  </conditionalFormatting>
  <conditionalFormatting sqref="C3:C92 L3:L94 U3:U92 S55:S64 J57:J65 C103 L103 U103">
    <cfRule type="containsText" dxfId="0" priority="401" operator="containsText" text="6700">
      <formula>NOT(ISERROR(SEARCH(("6700"),(C3))))</formula>
    </cfRule>
  </conditionalFormatting>
  <conditionalFormatting sqref="C3:C92 L3:L94 U3:U92 S55:S81 J57:J81 C103 L103 U103">
    <cfRule type="containsText" dxfId="0" priority="402" operator="containsText" text="3000">
      <formula>NOT(ISERROR(SEARCH(("3000"),(C3))))</formula>
    </cfRule>
  </conditionalFormatting>
  <conditionalFormatting sqref="C3:C97 L3:L97 U3:U97 S23:S92 J25:J92 A42 T79:T90 V79:V90 B82:B90 D82:D90 K82:K90 M82:M90 A92 U99 C103 L103 U103 S108 U108 C112 J112 L112 S112 U112 U118:U125 S119:S120 S123:S124">
    <cfRule type="containsText" dxfId="0" priority="403" operator="containsText" text="5000">
      <formula>NOT(ISERROR(SEARCH(("5000"),(C3))))</formula>
    </cfRule>
  </conditionalFormatting>
  <conditionalFormatting sqref="J48:J49 U63:U90 C64:C90 L64:L90 S69:S90 J72:J90 J93:J94 L93:L94 C103 J103 L103 U103">
    <cfRule type="containsText" dxfId="0" priority="404" operator="containsText" text="10000">
      <formula>NOT(ISERROR(SEARCH(("10000"),(J48))))</formula>
    </cfRule>
  </conditionalFormatting>
  <conditionalFormatting sqref="S30:S90 J32:J94 A42 U69:U92 C72:C92 L72:L94 A92 S92 C103 J103 L103 U103">
    <cfRule type="containsText" dxfId="0" priority="405" operator="containsText" text="6700">
      <formula>NOT(ISERROR(SEARCH(("6700"),(S30))))</formula>
    </cfRule>
  </conditionalFormatting>
  <conditionalFormatting sqref="S34:S40 J36:J40 S44:S90 J46:J90 U69:U90 C72:C90 L72:L90 J93:J94 L93:L94 C103 J103 L103 U103">
    <cfRule type="containsText" dxfId="0" priority="406" operator="containsText" text="15600">
      <formula>NOT(ISERROR(SEARCH(("15600"),(S34))))</formula>
    </cfRule>
  </conditionalFormatting>
  <conditionalFormatting sqref="S46:S49 U46:U50 C48:C50 J48:J49 L48:L50">
    <cfRule type="containsText" dxfId="0" priority="407" operator="containsText" text="10000">
      <formula>NOT(ISERROR(SEARCH(("10000"),(S46))))</formula>
    </cfRule>
  </conditionalFormatting>
  <conditionalFormatting sqref="S70:S90 J73:J90 J93:J94 J103">
    <cfRule type="containsText" dxfId="0" priority="408" operator="containsText" text="15600">
      <formula>NOT(ISERROR(SEARCH(("15600"),(S70))))</formula>
    </cfRule>
  </conditionalFormatting>
  <conditionalFormatting sqref="S70:S90 J73:J90 J93:J94 J103">
    <cfRule type="containsText" dxfId="0" priority="409" operator="containsText" text="6700">
      <formula>NOT(ISERROR(SEARCH(("6700"),(S70))))</formula>
    </cfRule>
  </conditionalFormatting>
  <conditionalFormatting sqref="C3:C50 L3:L50 U3:U50 S30:S45 J32:J38 J41:J45 A42 U62:U92 C64:C92 L64:L94 S66:S90 J69:J94 A92 S92 C103 J103 L103 U103">
    <cfRule type="containsText" dxfId="0" priority="410" operator="containsText" text="7500">
      <formula>NOT(ISERROR(SEARCH(("7500"),(C3))))</formula>
    </cfRule>
  </conditionalFormatting>
  <conditionalFormatting sqref="J5:J20 S5:S20 U64:U76 C67:C76 L67:L76 U108 C112 L112 U112 S118:S119">
    <cfRule type="containsText" dxfId="0" priority="411" operator="containsText" text="15600">
      <formula>NOT(ISERROR(SEARCH(("15600"),(J5))))</formula>
    </cfRule>
  </conditionalFormatting>
  <conditionalFormatting sqref="J5:J9 S5:S9">
    <cfRule type="containsText" dxfId="0" priority="412" operator="containsText" text="15600">
      <formula>NOT(ISERROR(SEARCH(("15600"),(J5))))</formula>
    </cfRule>
  </conditionalFormatting>
  <conditionalFormatting sqref="S44:S45 J46:J47 S63:S90 J66:J90 J93:J94 S99 J103 S121">
    <cfRule type="containsText" dxfId="0" priority="413" operator="containsText" text="15600">
      <formula>NOT(ISERROR(SEARCH(("15600"),(S44))))</formula>
    </cfRule>
  </conditionalFormatting>
  <conditionalFormatting sqref="S50:S90 U50:U90 C52:C90 J52:J90 L52:L90 J93:J94 L93:L94 C103 J103 L103 U103">
    <cfRule type="containsText" dxfId="0" priority="414" operator="containsText" text="15600">
      <formula>NOT(ISERROR(SEARCH(("15600"),(S50))))</formula>
    </cfRule>
  </conditionalFormatting>
  <conditionalFormatting sqref="S44:S47 J46:J47 S52:S62 J54:J65">
    <cfRule type="containsText" dxfId="0" priority="415" operator="containsText" text="10000">
      <formula>NOT(ISERROR(SEARCH(("10000"),(S44))))</formula>
    </cfRule>
  </conditionalFormatting>
  <conditionalFormatting sqref="S30:S90 J32:J94 U37:U65 C39:C65 L39:L65 A42 A92 S92 J103">
    <cfRule type="containsText" dxfId="0" priority="416" operator="containsText" text="3000">
      <formula>NOT(ISERROR(SEARCH(("3000"),(S30))))</formula>
    </cfRule>
  </conditionalFormatting>
  <conditionalFormatting sqref="C3:C103 L3:L103 U3:U103 S26:S95 A28:A48 J28:J95 A70:A74 A80:A95 U107:U108 S108 C111:C113 L111:L113 U111:U115 J112 S112 C115 L115 C118:C119 L118:L119 U118:U125 S119:S121 S123:S125">
    <cfRule type="containsText" dxfId="0" priority="417" operator="containsText" text="22000">
      <formula>NOT(ISERROR(SEARCH(("22000"),(C3))))</formula>
    </cfRule>
  </conditionalFormatting>
  <conditionalFormatting sqref="C14:C104 L14:L104 U14:U104 S31:S95 A32:A95 J32:J95 A97 J97 S97 S108 U108 A110 C110 J110 L110 S110 U110 C112 J112 L112 S112 U112 A114 C114 J114 L114 S114 U114 S120:S127 U120:U127 A122:A123 C122:C123 J122:J123 L122:L123 A126:A127 C126:C127 J126:J127 L126:L127">
    <cfRule type="containsText" dxfId="0" priority="418" operator="containsText" text="25500">
      <formula>NOT(ISERROR(SEARCH(("25500"),(C14))))</formula>
    </cfRule>
  </conditionalFormatting>
  <conditionalFormatting sqref="S46:S47 J48:J49">
    <cfRule type="containsText" dxfId="0" priority="419" operator="containsText" text="10000">
      <formula>NOT(ISERROR(SEARCH(("10000"),(S46))))</formula>
    </cfRule>
  </conditionalFormatting>
  <conditionalFormatting sqref="J5:J9 S5:S9 U64:U76 C67:C76 L67:L76 U108 C112 L112 U112">
    <cfRule type="containsText" dxfId="0" priority="420" operator="containsText" text="15600">
      <formula>NOT(ISERROR(SEARCH(("15600"),(J5))))</formula>
    </cfRule>
  </conditionalFormatting>
  <conditionalFormatting sqref="J5:J9 S5:S9">
    <cfRule type="containsText" dxfId="0" priority="421" operator="containsText" text="15600">
      <formula>NOT(ISERROR(SEARCH(("15600"),(J5))))</formula>
    </cfRule>
  </conditionalFormatting>
  <conditionalFormatting sqref="A3:A48 J3:J48 S3:S48 U54:U133 C55:C133 L55:L133 S85:S134 A86:A133 J86:J134">
    <cfRule type="containsText" dxfId="0" priority="422" operator="containsText" text="37500">
      <formula>NOT(ISERROR(SEARCH(("37500"),(A3))))</formula>
    </cfRule>
  </conditionalFormatting>
  <conditionalFormatting sqref="U58:U133 C59:C133 L59:L133">
    <cfRule type="containsText" dxfId="0" priority="423" operator="containsText" text="5500">
      <formula>NOT(ISERROR(SEARCH(("5500"),(U58))))</formula>
    </cfRule>
  </conditionalFormatting>
  <conditionalFormatting sqref="A3:A46 J3:J46 S3:S46 U58:U133 C59:C133 L59:L133 S103:S129 A105:A129 J105:J129">
    <cfRule type="containsText" dxfId="0" priority="424" operator="containsText" text="21700">
      <formula>NOT(ISERROR(SEARCH(("21700"),(A3))))</formula>
    </cfRule>
  </conditionalFormatting>
  <conditionalFormatting sqref="A3:A133 C3:C133 J3:J134 L3:L133 S3:S134 U3:U133 T65:T134 V65:V133 B66:B133 D66:D133 K66:K134 M66:M133">
    <cfRule type="containsText" dxfId="0" priority="425" operator="containsText" text="13300">
      <formula>NOT(ISERROR(SEARCH(("13300"),(A3))))</formula>
    </cfRule>
  </conditionalFormatting>
  <conditionalFormatting sqref="A1:G133 J2:K134 L2:P133 S2:T134 U2:Y133 H3:H81 I3:I92 H88:H89 Q90 A143:A149">
    <cfRule type="beginsWith" dxfId="2" priority="426" operator="beginsWith" text="$0">
      <formula>LEFT((A1),LEN("$0"))=("$0")</formula>
    </cfRule>
  </conditionalFormatting>
  <conditionalFormatting sqref="S33:S90 U33:U92 C35:C92 J35:J94 L35:L94 A42 A92 S92 C103 J103 L103 U103">
    <cfRule type="containsText" dxfId="0" priority="427" operator="containsText" text="6700">
      <formula>NOT(ISERROR(SEARCH(("6700"),(S33))))</formula>
    </cfRule>
  </conditionalFormatting>
  <conditionalFormatting sqref="U33:U38 S34:S38 C35:C38 L35:L38 J36:J38 S44:S47 J46:J47">
    <cfRule type="containsText" dxfId="0" priority="428" operator="containsText" text="7500">
      <formula>NOT(ISERROR(SEARCH(("7500"),(U33))))</formula>
    </cfRule>
  </conditionalFormatting>
  <conditionalFormatting sqref="S23:S53 U23:U47 C25:C47 J25:J53 L25:L47 A42 S62:S90 J64:J94 U88:U89 C91:C92 L91:L92 U91:U92 A92 S92 J103">
    <cfRule type="containsText" dxfId="0" priority="429" operator="containsText" text="5000">
      <formula>NOT(ISERROR(SEARCH(("5000"),(S23))))</formula>
    </cfRule>
  </conditionalFormatting>
  <conditionalFormatting sqref="J39:J40">
    <cfRule type="containsText" dxfId="0" priority="430" operator="containsText" text="3000">
      <formula>NOT(ISERROR(SEARCH(("3000"),(J39))))</formula>
    </cfRule>
  </conditionalFormatting>
  <conditionalFormatting sqref="S39:S45 J41:J45 A42">
    <cfRule type="containsText" dxfId="0" priority="431" operator="containsText" text="22000">
      <formula>NOT(ISERROR(SEARCH(("22000"),(S39))))</formula>
    </cfRule>
  </conditionalFormatting>
  <conditionalFormatting sqref="J46:J47">
    <cfRule type="containsText" dxfId="0" priority="432" operator="containsText" text="10000">
      <formula>NOT(ISERROR(SEARCH(("10000"),(J46))))</formula>
    </cfRule>
  </conditionalFormatting>
  <conditionalFormatting sqref="C15:C133 L15:L133 U15:U133 S27:S134 A28:A133 J28:J134 T65:T134 V65:V133 B66:B133 D66:D133 K66:K134 M66:M133">
    <cfRule type="containsText" dxfId="0" priority="433" operator="containsText" text="$6700">
      <formula>NOT(ISERROR(SEARCH(("$6700"),(C15))))</formula>
    </cfRule>
  </conditionalFormatting>
  <conditionalFormatting sqref="C13:C133 L13:L133 U13:U133 S26:S134 A27:A133 J27:J134 T65:T134 V65:V133 B66:B133 D66:D133 K66:K134 M66:M133">
    <cfRule type="containsText" dxfId="0" priority="434" operator="containsText" text="$25500">
      <formula>NOT(ISERROR(SEARCH(("$25500"),(C13))))</formula>
    </cfRule>
  </conditionalFormatting>
  <conditionalFormatting sqref="C15:C133 L15:L133 U15:U133 S27:S134 A28:A133 J28:J134 T65:T134 V65:V133 B66:B133 D66:D133 K66:K134 M66:M133">
    <cfRule type="containsText" dxfId="0" priority="435" operator="containsText" text="$13000">
      <formula>NOT(ISERROR(SEARCH(("$13000"),(C15))))</formula>
    </cfRule>
  </conditionalFormatting>
  <conditionalFormatting sqref="C15:C133 L15:L133 U15:U133 S27:S134 A28:A133 J28:J134 T65:T134 V65:V133 B66:B133 D66:D133 K66:K134 M66:M133">
    <cfRule type="containsText" dxfId="0" priority="436" operator="containsText" text="$22000">
      <formula>NOT(ISERROR(SEARCH(("$22000"),(C15))))</formula>
    </cfRule>
  </conditionalFormatting>
  <conditionalFormatting sqref="C3:C133 L3:L133 U3:U133 A15:A133 D15:D133 J15:J134 M15:M133 S15:S134 V15:V133 T28:T134 B29:B133 K29:K134">
    <cfRule type="containsText" dxfId="0" priority="437" operator="containsText" text="$8700">
      <formula>NOT(ISERROR(SEARCH(("$8700"),(C3))))</formula>
    </cfRule>
  </conditionalFormatting>
  <conditionalFormatting sqref="C3:C133 L3:L133 U3:U133 A15:A133 J15:J134 S15:S134 T65:T134 V65:V133 B66:B133 D66:D133 K66:K134 M66:M133">
    <cfRule type="containsText" dxfId="0" priority="438" operator="containsText" text="$5600">
      <formula>NOT(ISERROR(SEARCH(("$5600"),(C3))))</formula>
    </cfRule>
  </conditionalFormatting>
  <conditionalFormatting sqref="C3:C133 L3:L133 U3:U133 A15:A133 J15:J134 S15:S134 T65:T134 V65:V133 B66:B133 D66:D133 K66:K134 M66:M133">
    <cfRule type="containsText" dxfId="0" priority="439" operator="containsText" text="$10200">
      <formula>NOT(ISERROR(SEARCH(("$10200"),(C3))))</formula>
    </cfRule>
  </conditionalFormatting>
  <conditionalFormatting sqref="C15:C133 L15:L133 U15:U133 S36:S134 A37:A133 J37:J134 T65:T134 V65:V133 B66:B133 D66:D133 K66:K134 M66:M133">
    <cfRule type="containsText" dxfId="0" priority="440" operator="containsText" text="$4300">
      <formula>NOT(ISERROR(SEARCH(("$4300"),(C15))))</formula>
    </cfRule>
  </conditionalFormatting>
  <conditionalFormatting sqref="S63:S89 J66:J89 S108 J112">
    <cfRule type="containsText" dxfId="0" priority="441" operator="containsText" text="6700">
      <formula>NOT(ISERROR(SEARCH(("6700"),(S63))))</formula>
    </cfRule>
  </conditionalFormatting>
  <conditionalFormatting sqref="B3:B133 I3:I92 K3:K134 T3:T134 Y22:Y133 G23:G133 P23:P133 W36:W133 E37:E133 N37:N133 X54:X133 F55:F133 O55:O133">
    <cfRule type="cellIs" dxfId="1" priority="442" operator="between">
      <formula>1</formula>
      <formula>1000000</formula>
    </cfRule>
  </conditionalFormatting>
  <conditionalFormatting sqref="C3:C133 L3:L133 U3:U133 A15:A133 J15:J134 S15:S134 T65:T134 V65:V133 B66:B133 D66:D133 K66:K134 M66:M133">
    <cfRule type="containsText" dxfId="0" priority="443" operator="containsText" text="9400">
      <formula>NOT(ISERROR(SEARCH(("9400"),(C3))))</formula>
    </cfRule>
  </conditionalFormatting>
  <conditionalFormatting sqref="A14:A52 C14:C133 J14:J52 L14:L133 S14:S52 U14:U133 S85:S134 A86:A133 J86:J134">
    <cfRule type="containsText" dxfId="0" priority="444" operator="containsText" text="$5500">
      <formula>NOT(ISERROR(SEARCH(("$5500"),(A14))))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16.25"/>
    <col customWidth="1" min="3" max="3" width="10.13"/>
    <col customWidth="1" min="4" max="4" width="16.75"/>
    <col customWidth="1" min="5" max="5" width="5.88"/>
    <col customWidth="1" min="6" max="6" width="4.88"/>
    <col customWidth="1" min="7" max="7" width="15.0"/>
    <col customWidth="1" min="9" max="9" width="13.38"/>
    <col customWidth="1" min="10" max="10" width="30.63"/>
    <col customWidth="1" min="11" max="11" width="16.25"/>
    <col customWidth="1" min="12" max="12" width="13.63"/>
    <col customWidth="1" min="13" max="13" width="16.75"/>
    <col customWidth="1" min="14" max="14" width="5.25"/>
    <col customWidth="1" min="15" max="15" width="4.88"/>
    <col customWidth="1" min="16" max="16" width="15.0"/>
    <col customWidth="1" min="17" max="17" width="13.75"/>
    <col customWidth="1" min="18" max="18" width="14.38"/>
    <col customWidth="1" min="19" max="19" width="30.63"/>
    <col customWidth="1" min="20" max="20" width="16.25"/>
    <col customWidth="1" min="21" max="21" width="10.88"/>
    <col customWidth="1" min="22" max="22" width="16.75"/>
    <col customWidth="1" min="23" max="23" width="5.5"/>
    <col customWidth="1" min="24" max="24" width="4.88"/>
    <col customWidth="1" min="25" max="25" width="15.0"/>
  </cols>
  <sheetData>
    <row r="1" ht="29.25" customHeight="1">
      <c r="A1" s="115"/>
      <c r="B1" s="115"/>
      <c r="C1" s="116"/>
      <c r="D1" s="117"/>
      <c r="E1" s="118"/>
      <c r="F1" s="118"/>
      <c r="G1" s="119"/>
      <c r="H1" s="1"/>
      <c r="I1" s="1"/>
      <c r="J1" s="116"/>
      <c r="K1" s="115"/>
      <c r="L1" s="116"/>
      <c r="M1" s="117"/>
      <c r="N1" s="118"/>
      <c r="O1" s="118"/>
      <c r="P1" s="119"/>
      <c r="Q1" s="1"/>
      <c r="R1" s="1"/>
      <c r="S1" s="120"/>
      <c r="T1" s="121"/>
      <c r="U1" s="120"/>
      <c r="V1" s="122"/>
      <c r="W1" s="120"/>
      <c r="X1" s="120"/>
      <c r="Y1" s="123"/>
      <c r="Z1" s="1"/>
      <c r="AA1" s="1"/>
    </row>
    <row r="2" ht="20.25" customHeight="1">
      <c r="A2" s="40" t="s">
        <v>18</v>
      </c>
      <c r="B2" s="41" t="s">
        <v>19</v>
      </c>
      <c r="C2" s="40" t="s">
        <v>20</v>
      </c>
      <c r="D2" s="42" t="s">
        <v>21</v>
      </c>
      <c r="E2" s="43" t="s">
        <v>22</v>
      </c>
      <c r="F2" s="44" t="s">
        <v>23</v>
      </c>
      <c r="G2" s="45" t="s">
        <v>24</v>
      </c>
      <c r="H2" s="1"/>
      <c r="I2" s="1"/>
      <c r="J2" s="40" t="s">
        <v>18</v>
      </c>
      <c r="K2" s="41" t="s">
        <v>19</v>
      </c>
      <c r="L2" s="40" t="s">
        <v>20</v>
      </c>
      <c r="M2" s="42" t="s">
        <v>21</v>
      </c>
      <c r="N2" s="43" t="s">
        <v>22</v>
      </c>
      <c r="O2" s="44" t="s">
        <v>23</v>
      </c>
      <c r="P2" s="45" t="s">
        <v>24</v>
      </c>
      <c r="Q2" s="1"/>
      <c r="R2" s="1"/>
      <c r="S2" s="40" t="s">
        <v>18</v>
      </c>
      <c r="T2" s="41" t="s">
        <v>19</v>
      </c>
      <c r="U2" s="40" t="s">
        <v>20</v>
      </c>
      <c r="V2" s="42" t="s">
        <v>21</v>
      </c>
      <c r="W2" s="43" t="s">
        <v>22</v>
      </c>
      <c r="X2" s="44" t="s">
        <v>23</v>
      </c>
      <c r="Y2" s="45" t="s">
        <v>24</v>
      </c>
      <c r="Z2" s="1"/>
      <c r="AA2" s="1"/>
    </row>
    <row r="3">
      <c r="A3" s="48" t="s">
        <v>25</v>
      </c>
      <c r="B3" s="49">
        <v>0.0</v>
      </c>
      <c r="C3" s="50" t="str">
        <f>IF(AND(F3=E3,E3=F3),"$0","$6.500")</f>
        <v>$0</v>
      </c>
      <c r="D3" s="51">
        <v>6500.0</v>
      </c>
      <c r="E3" s="52" t="b">
        <v>0</v>
      </c>
      <c r="F3" s="53" t="b">
        <v>0</v>
      </c>
      <c r="G3" s="49">
        <v>0.0</v>
      </c>
      <c r="H3" s="1"/>
      <c r="I3" s="1"/>
      <c r="J3" s="48" t="s">
        <v>25</v>
      </c>
      <c r="K3" s="49">
        <v>0.0</v>
      </c>
      <c r="L3" s="50" t="str">
        <f>IF(AND(O3=N3,N3=O3),"$0","$6.500")</f>
        <v>$0</v>
      </c>
      <c r="M3" s="51">
        <v>6500.0</v>
      </c>
      <c r="N3" s="52" t="b">
        <v>0</v>
      </c>
      <c r="O3" s="53" t="b">
        <v>0</v>
      </c>
      <c r="P3" s="49">
        <v>0.0</v>
      </c>
      <c r="Q3" s="1"/>
      <c r="R3" s="25"/>
      <c r="S3" s="48" t="s">
        <v>25</v>
      </c>
      <c r="T3" s="49">
        <v>0.0</v>
      </c>
      <c r="U3" s="50" t="str">
        <f>IF(AND(X3=W3,W3=X3),"$0","$6.500")</f>
        <v>$0</v>
      </c>
      <c r="V3" s="51">
        <v>6500.0</v>
      </c>
      <c r="W3" s="52" t="b">
        <v>0</v>
      </c>
      <c r="X3" s="53" t="b">
        <v>0</v>
      </c>
      <c r="Y3" s="49">
        <v>0.0</v>
      </c>
      <c r="Z3" s="1"/>
      <c r="AA3" s="1"/>
    </row>
    <row r="4">
      <c r="A4" s="48" t="s">
        <v>25</v>
      </c>
      <c r="B4" s="50">
        <v>0.0</v>
      </c>
      <c r="C4" s="50" t="str">
        <f>IF(AND(F4=E4,E4=F4),"$0","$13.400")</f>
        <v>$0</v>
      </c>
      <c r="D4" s="51">
        <v>13400.0</v>
      </c>
      <c r="E4" s="52" t="b">
        <v>0</v>
      </c>
      <c r="F4" s="53" t="b">
        <v>0</v>
      </c>
      <c r="G4" s="49">
        <v>0.0</v>
      </c>
      <c r="H4" s="1"/>
      <c r="I4" s="1"/>
      <c r="J4" s="48" t="s">
        <v>25</v>
      </c>
      <c r="K4" s="50">
        <v>0.0</v>
      </c>
      <c r="L4" s="50" t="str">
        <f>IF(AND(O4=N4,N4=O4),"$0","$13.400")</f>
        <v>$0</v>
      </c>
      <c r="M4" s="51">
        <v>13400.0</v>
      </c>
      <c r="N4" s="52" t="b">
        <v>0</v>
      </c>
      <c r="O4" s="53" t="b">
        <v>0</v>
      </c>
      <c r="P4" s="49">
        <v>0.0</v>
      </c>
      <c r="Q4" s="1"/>
      <c r="R4" s="25"/>
      <c r="S4" s="48" t="s">
        <v>25</v>
      </c>
      <c r="T4" s="49">
        <v>0.0</v>
      </c>
      <c r="U4" s="50" t="str">
        <f>IF(AND(X4=W4,W4=X4),"$0","$13.400")</f>
        <v>$0</v>
      </c>
      <c r="V4" s="51">
        <v>13400.0</v>
      </c>
      <c r="W4" s="52" t="b">
        <v>0</v>
      </c>
      <c r="X4" s="53" t="b">
        <v>0</v>
      </c>
      <c r="Y4" s="49">
        <v>0.0</v>
      </c>
      <c r="Z4" s="1"/>
      <c r="AA4" s="1"/>
    </row>
    <row r="5">
      <c r="A5" s="48" t="s">
        <v>26</v>
      </c>
      <c r="B5" s="49">
        <v>0.0</v>
      </c>
      <c r="C5" s="50" t="str">
        <f>IF(AND(F5=E5,E5=F5),"$0","$6.600")</f>
        <v>$6.600</v>
      </c>
      <c r="D5" s="51">
        <v>6600.0</v>
      </c>
      <c r="E5" s="52" t="b">
        <v>1</v>
      </c>
      <c r="F5" s="53" t="b">
        <v>0</v>
      </c>
      <c r="G5" s="49">
        <v>0.0</v>
      </c>
      <c r="H5" s="1"/>
      <c r="I5" s="1"/>
      <c r="J5" s="48" t="s">
        <v>26</v>
      </c>
      <c r="K5" s="49">
        <v>7000.0</v>
      </c>
      <c r="L5" s="50" t="str">
        <f>IF(AND(O5=N5,N5=O5),"$0","$6.600")</f>
        <v>$0</v>
      </c>
      <c r="M5" s="51">
        <v>6600.0</v>
      </c>
      <c r="N5" s="52" t="b">
        <v>0</v>
      </c>
      <c r="O5" s="53" t="b">
        <v>0</v>
      </c>
      <c r="P5" s="49">
        <v>0.0</v>
      </c>
      <c r="Q5" s="1"/>
      <c r="R5" s="25"/>
      <c r="S5" s="48" t="s">
        <v>26</v>
      </c>
      <c r="T5" s="49">
        <v>6200.0</v>
      </c>
      <c r="U5" s="50" t="str">
        <f>IF(AND(X5=W5,W5=X5),"$0","$6.600")</f>
        <v>$0</v>
      </c>
      <c r="V5" s="51">
        <v>6600.0</v>
      </c>
      <c r="W5" s="52" t="b">
        <v>0</v>
      </c>
      <c r="X5" s="53" t="b">
        <v>0</v>
      </c>
      <c r="Y5" s="49">
        <v>0.0</v>
      </c>
      <c r="Z5" s="1"/>
      <c r="AA5" s="1"/>
    </row>
    <row r="6">
      <c r="A6" s="48" t="s">
        <v>27</v>
      </c>
      <c r="B6" s="50">
        <v>0.0</v>
      </c>
      <c r="C6" s="50" t="str">
        <f>IF(AND(F6=E6,E6=F6),"$0","$16.700")</f>
        <v>$0</v>
      </c>
      <c r="D6" s="51">
        <v>16700.0</v>
      </c>
      <c r="E6" s="52" t="b">
        <v>0</v>
      </c>
      <c r="F6" s="53" t="b">
        <v>0</v>
      </c>
      <c r="G6" s="49">
        <v>0.0</v>
      </c>
      <c r="H6" s="1"/>
      <c r="I6" s="1"/>
      <c r="J6" s="48" t="s">
        <v>27</v>
      </c>
      <c r="K6" s="50">
        <v>0.0</v>
      </c>
      <c r="L6" s="50" t="str">
        <f>IF(AND(O6=N6,N6=O6),"$0","$16.700")</f>
        <v>$0</v>
      </c>
      <c r="M6" s="51">
        <v>16700.0</v>
      </c>
      <c r="N6" s="52" t="b">
        <v>0</v>
      </c>
      <c r="O6" s="53" t="b">
        <v>0</v>
      </c>
      <c r="P6" s="49">
        <v>33400.0</v>
      </c>
      <c r="Q6" s="1"/>
      <c r="R6" s="25"/>
      <c r="S6" s="48" t="s">
        <v>27</v>
      </c>
      <c r="T6" s="49">
        <v>0.0</v>
      </c>
      <c r="U6" s="50" t="str">
        <f>IF(AND(X6=W6,W6=X6),"$0","$16.700")</f>
        <v>$16.700</v>
      </c>
      <c r="V6" s="51">
        <v>16700.0</v>
      </c>
      <c r="W6" s="52" t="b">
        <v>1</v>
      </c>
      <c r="X6" s="53" t="b">
        <v>0</v>
      </c>
      <c r="Y6" s="49">
        <v>0.0</v>
      </c>
      <c r="Z6" s="1"/>
      <c r="AA6" s="1"/>
    </row>
    <row r="7">
      <c r="A7" s="48" t="s">
        <v>28</v>
      </c>
      <c r="B7" s="49">
        <v>0.0</v>
      </c>
      <c r="C7" s="50" t="str">
        <f t="shared" ref="C7:C8" si="1">IF(AND(F7=E7,E7=F7),"$0","$5.700")</f>
        <v>$5.700</v>
      </c>
      <c r="D7" s="51">
        <v>5700.0</v>
      </c>
      <c r="E7" s="52" t="b">
        <v>0</v>
      </c>
      <c r="F7" s="53" t="b">
        <v>1</v>
      </c>
      <c r="G7" s="49">
        <v>0.0</v>
      </c>
      <c r="H7" s="1"/>
      <c r="I7" s="1"/>
      <c r="J7" s="48" t="s">
        <v>28</v>
      </c>
      <c r="K7" s="49">
        <v>0.0</v>
      </c>
      <c r="L7" s="50" t="str">
        <f t="shared" ref="L7:L8" si="2">IF(AND(O7=N7,N7=O7),"$0","$5.700")</f>
        <v>$5.700</v>
      </c>
      <c r="M7" s="51">
        <v>5700.0</v>
      </c>
      <c r="N7" s="52" t="b">
        <v>1</v>
      </c>
      <c r="O7" s="53" t="b">
        <v>0</v>
      </c>
      <c r="P7" s="49">
        <v>0.0</v>
      </c>
      <c r="Q7" s="1"/>
      <c r="R7" s="25"/>
      <c r="S7" s="48" t="s">
        <v>28</v>
      </c>
      <c r="T7" s="49">
        <v>0.0</v>
      </c>
      <c r="U7" s="50" t="str">
        <f t="shared" ref="U7:U8" si="3">IF(AND(X7=W7,W7=X7),"$0","$5.700")</f>
        <v>$0</v>
      </c>
      <c r="V7" s="51">
        <v>5700.0</v>
      </c>
      <c r="W7" s="52" t="b">
        <v>0</v>
      </c>
      <c r="X7" s="53" t="b">
        <v>0</v>
      </c>
      <c r="Y7" s="49">
        <v>0.0</v>
      </c>
      <c r="Z7" s="1"/>
      <c r="AA7" s="1"/>
    </row>
    <row r="8">
      <c r="A8" s="48" t="s">
        <v>28</v>
      </c>
      <c r="B8" s="49">
        <v>4300.0</v>
      </c>
      <c r="C8" s="50" t="str">
        <f t="shared" si="1"/>
        <v>$0</v>
      </c>
      <c r="D8" s="51">
        <v>5700.0</v>
      </c>
      <c r="E8" s="52" t="b">
        <v>0</v>
      </c>
      <c r="F8" s="53" t="b">
        <v>0</v>
      </c>
      <c r="G8" s="49">
        <v>1400.0</v>
      </c>
      <c r="H8" s="1"/>
      <c r="I8" s="1"/>
      <c r="J8" s="48" t="s">
        <v>28</v>
      </c>
      <c r="K8" s="49">
        <v>0.0</v>
      </c>
      <c r="L8" s="50" t="str">
        <f t="shared" si="2"/>
        <v>$5.700</v>
      </c>
      <c r="M8" s="51">
        <v>5700.0</v>
      </c>
      <c r="N8" s="52" t="b">
        <v>1</v>
      </c>
      <c r="O8" s="53" t="b">
        <v>0</v>
      </c>
      <c r="P8" s="49">
        <v>0.0</v>
      </c>
      <c r="Q8" s="1"/>
      <c r="R8" s="25"/>
      <c r="S8" s="48" t="s">
        <v>28</v>
      </c>
      <c r="T8" s="49">
        <v>0.0</v>
      </c>
      <c r="U8" s="50" t="str">
        <f t="shared" si="3"/>
        <v>$0</v>
      </c>
      <c r="V8" s="51">
        <v>5700.0</v>
      </c>
      <c r="W8" s="52" t="b">
        <v>0</v>
      </c>
      <c r="X8" s="53" t="b">
        <v>0</v>
      </c>
      <c r="Y8" s="49">
        <v>0.0</v>
      </c>
      <c r="Z8" s="1"/>
      <c r="AA8" s="1"/>
    </row>
    <row r="9">
      <c r="A9" s="48" t="s">
        <v>29</v>
      </c>
      <c r="B9" s="50">
        <v>0.0</v>
      </c>
      <c r="C9" s="50" t="str">
        <f>IF(AND(F9=E9,E9=F9),"$0","$8.400")</f>
        <v>$8.400</v>
      </c>
      <c r="D9" s="51">
        <v>8400.0</v>
      </c>
      <c r="E9" s="52" t="b">
        <v>1</v>
      </c>
      <c r="F9" s="53" t="b">
        <v>0</v>
      </c>
      <c r="G9" s="49">
        <v>0.0</v>
      </c>
      <c r="H9" s="1"/>
      <c r="I9" s="1"/>
      <c r="J9" s="48" t="s">
        <v>29</v>
      </c>
      <c r="K9" s="50">
        <v>0.0</v>
      </c>
      <c r="L9" s="50" t="str">
        <f>IF(AND(O9=N9,N9=O9),"$0","$8.400")</f>
        <v>$8.400</v>
      </c>
      <c r="M9" s="51">
        <v>8400.0</v>
      </c>
      <c r="N9" s="52" t="b">
        <v>0</v>
      </c>
      <c r="O9" s="53" t="b">
        <v>1</v>
      </c>
      <c r="P9" s="49">
        <v>0.0</v>
      </c>
      <c r="Q9" s="1"/>
      <c r="R9" s="25"/>
      <c r="S9" s="48" t="s">
        <v>29</v>
      </c>
      <c r="T9" s="49">
        <v>0.0</v>
      </c>
      <c r="U9" s="50" t="str">
        <f>IF(AND(X9=W9,W9=X9),"$0","$8.400")</f>
        <v>$8.400</v>
      </c>
      <c r="V9" s="51">
        <v>8400.0</v>
      </c>
      <c r="W9" s="52" t="b">
        <v>1</v>
      </c>
      <c r="X9" s="53" t="b">
        <v>0</v>
      </c>
      <c r="Y9" s="49">
        <v>0.0</v>
      </c>
      <c r="Z9" s="1"/>
      <c r="AA9" s="1"/>
    </row>
    <row r="10">
      <c r="A10" s="48" t="s">
        <v>30</v>
      </c>
      <c r="B10" s="50">
        <v>0.0</v>
      </c>
      <c r="C10" s="50" t="str">
        <f>IF(AND(F10=E10,E10=F10),"$0","$3.200")</f>
        <v>$0</v>
      </c>
      <c r="D10" s="51">
        <v>3200.0</v>
      </c>
      <c r="E10" s="52" t="b">
        <v>0</v>
      </c>
      <c r="F10" s="53" t="b">
        <v>0</v>
      </c>
      <c r="G10" s="49">
        <v>0.0</v>
      </c>
      <c r="H10" s="1"/>
      <c r="I10" s="1"/>
      <c r="J10" s="48" t="s">
        <v>30</v>
      </c>
      <c r="K10" s="50">
        <v>0.0</v>
      </c>
      <c r="L10" s="50" t="str">
        <f>IF(AND(O10=N10,N10=O10),"$0","$3.200")</f>
        <v>$0</v>
      </c>
      <c r="M10" s="51">
        <v>3200.0</v>
      </c>
      <c r="N10" s="52" t="b">
        <v>0</v>
      </c>
      <c r="O10" s="53" t="b">
        <v>0</v>
      </c>
      <c r="P10" s="49">
        <v>0.0</v>
      </c>
      <c r="Q10" s="1"/>
      <c r="R10" s="25"/>
      <c r="S10" s="48" t="s">
        <v>30</v>
      </c>
      <c r="T10" s="49">
        <v>0.0</v>
      </c>
      <c r="U10" s="50" t="str">
        <f>IF(AND(X10=W10,W10=X10),"$0","$3.200")</f>
        <v>$0</v>
      </c>
      <c r="V10" s="51">
        <v>3200.0</v>
      </c>
      <c r="W10" s="52" t="b">
        <v>0</v>
      </c>
      <c r="X10" s="53" t="b">
        <v>0</v>
      </c>
      <c r="Y10" s="49">
        <v>0.0</v>
      </c>
      <c r="Z10" s="1"/>
      <c r="AA10" s="1"/>
    </row>
    <row r="11">
      <c r="A11" s="58" t="s">
        <v>31</v>
      </c>
      <c r="B11" s="50">
        <v>0.0</v>
      </c>
      <c r="C11" s="50" t="str">
        <f>IF(AND(F11=E11,E11=F11),"$0","$9.000")</f>
        <v>$0</v>
      </c>
      <c r="D11" s="51">
        <v>9000.0</v>
      </c>
      <c r="E11" s="52" t="b">
        <v>0</v>
      </c>
      <c r="F11" s="53" t="b">
        <v>0</v>
      </c>
      <c r="G11" s="49">
        <v>5000.0</v>
      </c>
      <c r="H11" s="1"/>
      <c r="I11" s="1"/>
      <c r="J11" s="58" t="s">
        <v>31</v>
      </c>
      <c r="K11" s="50">
        <v>0.0</v>
      </c>
      <c r="L11" s="50" t="str">
        <f>IF(AND(O11=N11,N11=O11),"$0","$9.000")</f>
        <v>$0</v>
      </c>
      <c r="M11" s="51">
        <v>9000.0</v>
      </c>
      <c r="N11" s="52" t="b">
        <v>0</v>
      </c>
      <c r="O11" s="53" t="b">
        <v>0</v>
      </c>
      <c r="P11" s="49">
        <v>0.0</v>
      </c>
      <c r="Q11" s="1"/>
      <c r="R11" s="25"/>
      <c r="S11" s="58" t="s">
        <v>31</v>
      </c>
      <c r="T11" s="49">
        <v>0.0</v>
      </c>
      <c r="U11" s="50" t="str">
        <f>IF(AND(X11=W11,W11=X11),"$0","$9.000")</f>
        <v>$0</v>
      </c>
      <c r="V11" s="51">
        <v>9000.0</v>
      </c>
      <c r="W11" s="52" t="b">
        <v>0</v>
      </c>
      <c r="X11" s="53" t="b">
        <v>0</v>
      </c>
      <c r="Y11" s="49">
        <v>0.0</v>
      </c>
      <c r="Z11" s="1"/>
      <c r="AA11" s="1"/>
    </row>
    <row r="12">
      <c r="A12" s="58" t="s">
        <v>32</v>
      </c>
      <c r="B12" s="50">
        <v>0.0</v>
      </c>
      <c r="C12" s="50" t="str">
        <f>IF(AND(F12=E12,E12=F12),"$0","$12,700")</f>
        <v>$0</v>
      </c>
      <c r="D12" s="51">
        <v>12700.0</v>
      </c>
      <c r="E12" s="52" t="b">
        <v>0</v>
      </c>
      <c r="F12" s="53" t="b">
        <v>0</v>
      </c>
      <c r="G12" s="49">
        <v>0.0</v>
      </c>
      <c r="H12" s="1"/>
      <c r="I12" s="1"/>
      <c r="J12" s="58" t="s">
        <v>32</v>
      </c>
      <c r="K12" s="50">
        <v>0.0</v>
      </c>
      <c r="L12" s="50" t="str">
        <f>IF(AND(O12=N12,N12=O12),"$0","$12,700")</f>
        <v>$0</v>
      </c>
      <c r="M12" s="51">
        <v>12700.0</v>
      </c>
      <c r="N12" s="52" t="b">
        <v>0</v>
      </c>
      <c r="O12" s="53" t="b">
        <v>0</v>
      </c>
      <c r="P12" s="49">
        <v>0.0</v>
      </c>
      <c r="Q12" s="1"/>
      <c r="R12" s="25"/>
      <c r="S12" s="58" t="s">
        <v>32</v>
      </c>
      <c r="T12" s="49">
        <v>0.0</v>
      </c>
      <c r="U12" s="50" t="str">
        <f>IF(AND(X12=W12,W12=X12),"$0","$12,700")</f>
        <v>$0</v>
      </c>
      <c r="V12" s="51">
        <v>12700.0</v>
      </c>
      <c r="W12" s="52" t="b">
        <v>0</v>
      </c>
      <c r="X12" s="53" t="b">
        <v>0</v>
      </c>
      <c r="Y12" s="49">
        <v>0.0</v>
      </c>
      <c r="Z12" s="1"/>
      <c r="AA12" s="1"/>
    </row>
    <row r="13">
      <c r="A13" s="48" t="s">
        <v>33</v>
      </c>
      <c r="B13" s="50">
        <v>0.0</v>
      </c>
      <c r="C13" s="50" t="str">
        <f>IF(AND(F13=E13,E13=F13),"$0","$22.500")</f>
        <v>$0</v>
      </c>
      <c r="D13" s="51">
        <v>22500.0</v>
      </c>
      <c r="E13" s="52" t="b">
        <v>0</v>
      </c>
      <c r="F13" s="53" t="b">
        <v>0</v>
      </c>
      <c r="G13" s="49">
        <v>0.0</v>
      </c>
      <c r="H13" s="1"/>
      <c r="I13" s="1"/>
      <c r="J13" s="48" t="s">
        <v>33</v>
      </c>
      <c r="K13" s="50">
        <v>0.0</v>
      </c>
      <c r="L13" s="50" t="str">
        <f>IF(AND(O13=N13,N13=O13),"$0","$22.500")</f>
        <v>$0</v>
      </c>
      <c r="M13" s="51">
        <v>22500.0</v>
      </c>
      <c r="N13" s="52" t="b">
        <v>0</v>
      </c>
      <c r="O13" s="53" t="b">
        <v>0</v>
      </c>
      <c r="P13" s="49">
        <v>0.0</v>
      </c>
      <c r="Q13" s="1"/>
      <c r="R13" s="25"/>
      <c r="S13" s="48" t="s">
        <v>33</v>
      </c>
      <c r="T13" s="49">
        <v>0.0</v>
      </c>
      <c r="U13" s="50" t="str">
        <f>IF(AND(X13=W13,W13=X13),"$0","$22.500")</f>
        <v>$0</v>
      </c>
      <c r="V13" s="51">
        <v>22500.0</v>
      </c>
      <c r="W13" s="52" t="b">
        <v>0</v>
      </c>
      <c r="X13" s="53" t="b">
        <v>0</v>
      </c>
      <c r="Y13" s="49">
        <v>0.0</v>
      </c>
      <c r="Z13" s="1"/>
      <c r="AA13" s="1"/>
    </row>
    <row r="14">
      <c r="A14" s="58" t="s">
        <v>34</v>
      </c>
      <c r="B14" s="50">
        <v>0.0</v>
      </c>
      <c r="C14" s="50" t="str">
        <f>IF(AND(F14=E14,E14=F14),"$0","$20.900")</f>
        <v>$20.900</v>
      </c>
      <c r="D14" s="51">
        <v>20900.0</v>
      </c>
      <c r="E14" s="52" t="b">
        <v>1</v>
      </c>
      <c r="F14" s="53" t="b">
        <v>0</v>
      </c>
      <c r="G14" s="49">
        <v>0.0</v>
      </c>
      <c r="H14" s="1"/>
      <c r="I14" s="1"/>
      <c r="J14" s="58" t="s">
        <v>34</v>
      </c>
      <c r="K14" s="50">
        <v>0.0</v>
      </c>
      <c r="L14" s="50" t="str">
        <f>IF(AND(O14=N14,N14=O14),"$0","$20.900")</f>
        <v>$20.900</v>
      </c>
      <c r="M14" s="51">
        <v>20900.0</v>
      </c>
      <c r="N14" s="52" t="b">
        <v>1</v>
      </c>
      <c r="O14" s="53" t="b">
        <v>0</v>
      </c>
      <c r="P14" s="49">
        <v>0.0</v>
      </c>
      <c r="Q14" s="1"/>
      <c r="R14" s="25"/>
      <c r="S14" s="58" t="s">
        <v>34</v>
      </c>
      <c r="T14" s="49">
        <v>0.0</v>
      </c>
      <c r="U14" s="50" t="str">
        <f>IF(AND(X14=W14,W14=X14),"$0","$20.900")</f>
        <v>$20.900</v>
      </c>
      <c r="V14" s="51">
        <v>20900.0</v>
      </c>
      <c r="W14" s="52" t="b">
        <v>1</v>
      </c>
      <c r="X14" s="53" t="b">
        <v>0</v>
      </c>
      <c r="Y14" s="49">
        <v>0.0</v>
      </c>
      <c r="Z14" s="1"/>
      <c r="AA14" s="1"/>
    </row>
    <row r="15">
      <c r="A15" s="58" t="s">
        <v>35</v>
      </c>
      <c r="B15" s="50">
        <v>0.0</v>
      </c>
      <c r="C15" s="50" t="str">
        <f>IF(AND(F15=E15,E15=F15),"$0","$18.500")</f>
        <v>$18.500</v>
      </c>
      <c r="D15" s="51">
        <v>15500.0</v>
      </c>
      <c r="E15" s="52" t="b">
        <v>1</v>
      </c>
      <c r="F15" s="53" t="b">
        <v>0</v>
      </c>
      <c r="G15" s="49">
        <v>0.0</v>
      </c>
      <c r="H15" s="1"/>
      <c r="I15" s="1"/>
      <c r="J15" s="58" t="s">
        <v>35</v>
      </c>
      <c r="K15" s="50">
        <v>0.0</v>
      </c>
      <c r="L15" s="50" t="str">
        <f>IF(AND(O15=N15,N15=O15),"$0","$18.500")</f>
        <v>$18.500</v>
      </c>
      <c r="M15" s="51">
        <v>15500.0</v>
      </c>
      <c r="N15" s="52" t="b">
        <v>1</v>
      </c>
      <c r="O15" s="53" t="b">
        <v>0</v>
      </c>
      <c r="P15" s="49">
        <v>0.0</v>
      </c>
      <c r="Q15" s="1"/>
      <c r="R15" s="25"/>
      <c r="S15" s="58" t="s">
        <v>35</v>
      </c>
      <c r="T15" s="49">
        <v>0.0</v>
      </c>
      <c r="U15" s="50" t="str">
        <f>IF(AND(X15=W15,W15=X15),"$0","$18.500")</f>
        <v>$18.500</v>
      </c>
      <c r="V15" s="51">
        <v>15500.0</v>
      </c>
      <c r="W15" s="52" t="b">
        <v>1</v>
      </c>
      <c r="X15" s="53" t="b">
        <v>0</v>
      </c>
      <c r="Y15" s="49">
        <v>0.0</v>
      </c>
      <c r="Z15" s="1"/>
      <c r="AA15" s="1"/>
    </row>
    <row r="16">
      <c r="A16" s="48" t="s">
        <v>36</v>
      </c>
      <c r="B16" s="50">
        <v>0.0</v>
      </c>
      <c r="C16" s="50" t="str">
        <f>IF(AND(F16=E16,E16=F16),"$0","$10.500")</f>
        <v>$10.500</v>
      </c>
      <c r="D16" s="51">
        <v>10500.0</v>
      </c>
      <c r="E16" s="52" t="b">
        <v>0</v>
      </c>
      <c r="F16" s="53" t="b">
        <v>1</v>
      </c>
      <c r="G16" s="49">
        <v>0.0</v>
      </c>
      <c r="H16" s="1"/>
      <c r="I16" s="1"/>
      <c r="J16" s="48" t="s">
        <v>36</v>
      </c>
      <c r="K16" s="50">
        <v>0.0</v>
      </c>
      <c r="L16" s="50" t="str">
        <f>IF(AND(O16=N16,N16=O16),"$0","$10.500")</f>
        <v>$10.500</v>
      </c>
      <c r="M16" s="51">
        <v>10500.0</v>
      </c>
      <c r="N16" s="52" t="b">
        <v>0</v>
      </c>
      <c r="O16" s="53" t="b">
        <v>1</v>
      </c>
      <c r="P16" s="49">
        <v>0.0</v>
      </c>
      <c r="Q16" s="25"/>
      <c r="R16" s="25"/>
      <c r="S16" s="48" t="s">
        <v>36</v>
      </c>
      <c r="T16" s="49">
        <v>0.0</v>
      </c>
      <c r="U16" s="50" t="str">
        <f>IF(AND(X16=W16,W16=X16),"$0","$10.500")</f>
        <v>$10.500</v>
      </c>
      <c r="V16" s="51">
        <v>10500.0</v>
      </c>
      <c r="W16" s="52" t="b">
        <v>1</v>
      </c>
      <c r="X16" s="53" t="b">
        <v>0</v>
      </c>
      <c r="Y16" s="49">
        <v>0.0</v>
      </c>
      <c r="Z16" s="1"/>
      <c r="AA16" s="1"/>
    </row>
    <row r="17">
      <c r="A17" s="48" t="s">
        <v>37</v>
      </c>
      <c r="B17" s="50">
        <v>0.0</v>
      </c>
      <c r="C17" s="50" t="str">
        <f>IF(AND(F17=E17,E17=F17),"$0","$15.900")</f>
        <v>$15.900</v>
      </c>
      <c r="D17" s="51">
        <v>15900.0</v>
      </c>
      <c r="E17" s="52" t="b">
        <v>0</v>
      </c>
      <c r="F17" s="53" t="b">
        <v>1</v>
      </c>
      <c r="G17" s="49">
        <v>0.0</v>
      </c>
      <c r="H17" s="1"/>
      <c r="I17" s="1"/>
      <c r="J17" s="48" t="s">
        <v>37</v>
      </c>
      <c r="K17" s="50">
        <v>0.0</v>
      </c>
      <c r="L17" s="50" t="str">
        <f>IF(AND(O17=N17,N17=O17),"$0","$15.900")</f>
        <v>$15.900</v>
      </c>
      <c r="M17" s="51">
        <v>15900.0</v>
      </c>
      <c r="N17" s="52" t="b">
        <v>0</v>
      </c>
      <c r="O17" s="53" t="b">
        <v>1</v>
      </c>
      <c r="P17" s="49">
        <v>0.0</v>
      </c>
      <c r="Q17" s="1"/>
      <c r="R17" s="25"/>
      <c r="S17" s="48" t="s">
        <v>37</v>
      </c>
      <c r="T17" s="49">
        <v>0.0</v>
      </c>
      <c r="U17" s="50" t="str">
        <f>IF(AND(X17=W17,W17=X17),"$0","$15.900")</f>
        <v>$15.900</v>
      </c>
      <c r="V17" s="51">
        <v>15900.0</v>
      </c>
      <c r="W17" s="52" t="b">
        <v>0</v>
      </c>
      <c r="X17" s="53" t="b">
        <v>1</v>
      </c>
      <c r="Y17" s="49">
        <v>0.0</v>
      </c>
      <c r="Z17" s="1"/>
      <c r="AA17" s="1"/>
    </row>
    <row r="18">
      <c r="A18" s="48" t="s">
        <v>38</v>
      </c>
      <c r="B18" s="49">
        <v>10900.0</v>
      </c>
      <c r="C18" s="50" t="str">
        <f>IF(AND(F18=E18,E18=F18),"$0","$20.900")</f>
        <v>$0</v>
      </c>
      <c r="D18" s="51">
        <v>20900.0</v>
      </c>
      <c r="E18" s="52" t="b">
        <v>0</v>
      </c>
      <c r="F18" s="53" t="b">
        <v>0</v>
      </c>
      <c r="G18" s="49">
        <v>10000.0</v>
      </c>
      <c r="H18" s="1"/>
      <c r="I18" s="1"/>
      <c r="J18" s="48" t="s">
        <v>38</v>
      </c>
      <c r="K18" s="49">
        <v>0.0</v>
      </c>
      <c r="L18" s="50" t="str">
        <f>IF(AND(O18=N18,N18=O18),"$0","$20.900")</f>
        <v>$20.900</v>
      </c>
      <c r="M18" s="51">
        <v>20900.0</v>
      </c>
      <c r="N18" s="52" t="b">
        <v>1</v>
      </c>
      <c r="O18" s="53" t="b">
        <v>0</v>
      </c>
      <c r="P18" s="49">
        <v>0.0</v>
      </c>
      <c r="Q18" s="1"/>
      <c r="R18" s="25"/>
      <c r="S18" s="48" t="s">
        <v>38</v>
      </c>
      <c r="T18" s="49">
        <v>0.0</v>
      </c>
      <c r="U18" s="50" t="str">
        <f>IF(AND(X18=W18,W18=X18),"$0","$20.900")</f>
        <v>$20.900</v>
      </c>
      <c r="V18" s="51">
        <v>20900.0</v>
      </c>
      <c r="W18" s="52" t="b">
        <v>1</v>
      </c>
      <c r="X18" s="53" t="b">
        <v>0</v>
      </c>
      <c r="Y18" s="49">
        <v>0.0</v>
      </c>
      <c r="Z18" s="1"/>
      <c r="AA18" s="1"/>
    </row>
    <row r="19">
      <c r="A19" s="48" t="s">
        <v>64</v>
      </c>
      <c r="B19" s="50">
        <v>0.0</v>
      </c>
      <c r="C19" s="50" t="str">
        <f>IF(AND(F19=E19,E19=F19),"$0","$15.000")</f>
        <v>$15.000</v>
      </c>
      <c r="D19" s="51">
        <v>15000.0</v>
      </c>
      <c r="E19" s="52" t="b">
        <v>1</v>
      </c>
      <c r="F19" s="53" t="b">
        <v>0</v>
      </c>
      <c r="G19" s="49">
        <v>0.0</v>
      </c>
      <c r="H19" s="1"/>
      <c r="I19" s="1"/>
      <c r="J19" s="48" t="s">
        <v>64</v>
      </c>
      <c r="K19" s="50">
        <v>0.0</v>
      </c>
      <c r="L19" s="50" t="str">
        <f>IF(AND(O19=N19,N19=O19),"$0","$15.000")</f>
        <v>$0</v>
      </c>
      <c r="M19" s="51">
        <v>15000.0</v>
      </c>
      <c r="N19" s="52" t="b">
        <v>0</v>
      </c>
      <c r="O19" s="53" t="b">
        <v>0</v>
      </c>
      <c r="P19" s="49">
        <v>30000.0</v>
      </c>
      <c r="Q19" s="1"/>
      <c r="R19" s="25"/>
      <c r="S19" s="58" t="s">
        <v>39</v>
      </c>
      <c r="T19" s="49">
        <v>0.0</v>
      </c>
      <c r="U19" s="50" t="str">
        <f t="shared" ref="U19:U20" si="4">IF(AND(X19=W19,W19=X19),"$0","$15.000")</f>
        <v>$15.000</v>
      </c>
      <c r="V19" s="51">
        <v>15000.0</v>
      </c>
      <c r="W19" s="52" t="b">
        <v>1</v>
      </c>
      <c r="X19" s="53" t="b">
        <v>0</v>
      </c>
      <c r="Y19" s="49">
        <v>0.0</v>
      </c>
      <c r="Z19" s="1"/>
      <c r="AA19" s="1"/>
    </row>
    <row r="20">
      <c r="A20" s="48"/>
      <c r="B20" s="50"/>
      <c r="C20" s="50"/>
      <c r="D20" s="51"/>
      <c r="E20" s="52" t="b">
        <v>0</v>
      </c>
      <c r="F20" s="53" t="b">
        <v>0</v>
      </c>
      <c r="G20" s="49"/>
      <c r="H20" s="1"/>
      <c r="I20" s="1"/>
      <c r="J20" s="48"/>
      <c r="K20" s="50"/>
      <c r="L20" s="50"/>
      <c r="M20" s="51"/>
      <c r="N20" s="52" t="b">
        <v>0</v>
      </c>
      <c r="O20" s="53" t="b">
        <v>0</v>
      </c>
      <c r="P20" s="49"/>
      <c r="Q20" s="1"/>
      <c r="R20" s="25"/>
      <c r="S20" s="58" t="s">
        <v>39</v>
      </c>
      <c r="T20" s="49">
        <v>0.0</v>
      </c>
      <c r="U20" s="50" t="str">
        <f t="shared" si="4"/>
        <v>$15.000</v>
      </c>
      <c r="V20" s="51">
        <v>15000.0</v>
      </c>
      <c r="W20" s="52" t="b">
        <v>1</v>
      </c>
      <c r="X20" s="53" t="b">
        <v>0</v>
      </c>
      <c r="Y20" s="49">
        <v>0.0</v>
      </c>
      <c r="Z20" s="1"/>
      <c r="AA20" s="1"/>
    </row>
    <row r="21">
      <c r="A21" s="48" t="s">
        <v>40</v>
      </c>
      <c r="B21" s="50">
        <v>0.0</v>
      </c>
      <c r="C21" s="50" t="str">
        <f>IF(AND(F21=E21,E21=F21),"$0","$42.700")</f>
        <v>$42.700</v>
      </c>
      <c r="D21" s="51">
        <v>42700.0</v>
      </c>
      <c r="E21" s="52" t="b">
        <v>0</v>
      </c>
      <c r="F21" s="53" t="b">
        <v>1</v>
      </c>
      <c r="G21" s="49">
        <v>0.0</v>
      </c>
      <c r="H21" s="1"/>
      <c r="I21" s="1"/>
      <c r="J21" s="48" t="s">
        <v>40</v>
      </c>
      <c r="K21" s="50">
        <v>0.0</v>
      </c>
      <c r="L21" s="50" t="str">
        <f>IF(AND(O21=N21,N21=O21),"$0","$42.700")</f>
        <v>$0</v>
      </c>
      <c r="M21" s="51">
        <v>42700.0</v>
      </c>
      <c r="N21" s="52" t="b">
        <v>0</v>
      </c>
      <c r="O21" s="53" t="b">
        <v>0</v>
      </c>
      <c r="P21" s="49">
        <v>0.0</v>
      </c>
      <c r="Q21" s="1"/>
      <c r="R21" s="25"/>
      <c r="S21" s="48" t="s">
        <v>40</v>
      </c>
      <c r="T21" s="49">
        <v>0.0</v>
      </c>
      <c r="U21" s="50" t="str">
        <f>IF(AND(X21=W21,W21=X21),"$0","$42.700")</f>
        <v>$42.700</v>
      </c>
      <c r="V21" s="51">
        <v>29900.0</v>
      </c>
      <c r="W21" s="52" t="b">
        <v>1</v>
      </c>
      <c r="X21" s="53" t="b">
        <v>0</v>
      </c>
      <c r="Y21" s="49">
        <v>0.0</v>
      </c>
      <c r="Z21" s="1"/>
      <c r="AA21" s="1"/>
    </row>
    <row r="22">
      <c r="A22" s="48" t="s">
        <v>41</v>
      </c>
      <c r="B22" s="50">
        <v>0.0</v>
      </c>
      <c r="C22" s="50" t="str">
        <f t="shared" ref="C22:C23" si="5">IF(AND(F22=E22,E22=F22),"$0","$13.000")</f>
        <v>$13.000</v>
      </c>
      <c r="D22" s="51">
        <v>13000.0</v>
      </c>
      <c r="E22" s="52" t="b">
        <v>1</v>
      </c>
      <c r="F22" s="53" t="b">
        <v>0</v>
      </c>
      <c r="G22" s="49">
        <v>0.0</v>
      </c>
      <c r="H22" s="1"/>
      <c r="I22" s="1"/>
      <c r="J22" s="48" t="s">
        <v>41</v>
      </c>
      <c r="K22" s="50">
        <v>0.0</v>
      </c>
      <c r="L22" s="50" t="str">
        <f t="shared" ref="L22:L23" si="6">IF(AND(O22=N22,N22=O22),"$0","$13.000")</f>
        <v>$13.000</v>
      </c>
      <c r="M22" s="51">
        <v>13000.0</v>
      </c>
      <c r="N22" s="52" t="b">
        <v>1</v>
      </c>
      <c r="O22" s="53" t="b">
        <v>0</v>
      </c>
      <c r="P22" s="49">
        <v>0.0</v>
      </c>
      <c r="Q22" s="1"/>
      <c r="R22" s="25"/>
      <c r="S22" s="48" t="s">
        <v>41</v>
      </c>
      <c r="T22" s="49">
        <v>0.0</v>
      </c>
      <c r="U22" s="50" t="str">
        <f t="shared" ref="U22:U23" si="7">IF(AND(X22=W22,W22=X22),"$0","$13.000")</f>
        <v>$13.000</v>
      </c>
      <c r="V22" s="51">
        <v>13000.0</v>
      </c>
      <c r="W22" s="52" t="b">
        <v>1</v>
      </c>
      <c r="X22" s="53" t="b">
        <v>0</v>
      </c>
      <c r="Y22" s="49">
        <v>0.0</v>
      </c>
      <c r="Z22" s="1"/>
      <c r="AA22" s="1"/>
    </row>
    <row r="23">
      <c r="A23" s="48" t="s">
        <v>42</v>
      </c>
      <c r="B23" s="50">
        <v>0.0</v>
      </c>
      <c r="C23" s="50" t="str">
        <f t="shared" si="5"/>
        <v>$0</v>
      </c>
      <c r="D23" s="51">
        <v>13000.0</v>
      </c>
      <c r="E23" s="52" t="b">
        <v>0</v>
      </c>
      <c r="F23" s="53" t="b">
        <v>0</v>
      </c>
      <c r="G23" s="49">
        <v>0.0</v>
      </c>
      <c r="H23" s="1"/>
      <c r="I23" s="1"/>
      <c r="J23" s="48" t="s">
        <v>42</v>
      </c>
      <c r="K23" s="50">
        <v>0.0</v>
      </c>
      <c r="L23" s="50" t="str">
        <f t="shared" si="6"/>
        <v>$13.000</v>
      </c>
      <c r="M23" s="51">
        <v>13000.0</v>
      </c>
      <c r="N23" s="52" t="b">
        <v>1</v>
      </c>
      <c r="O23" s="53" t="b">
        <v>0</v>
      </c>
      <c r="P23" s="49">
        <v>0.0</v>
      </c>
      <c r="Q23" s="1"/>
      <c r="R23" s="1"/>
      <c r="S23" s="48" t="s">
        <v>42</v>
      </c>
      <c r="T23" s="49">
        <v>0.0</v>
      </c>
      <c r="U23" s="50" t="str">
        <f t="shared" si="7"/>
        <v>$13.000</v>
      </c>
      <c r="V23" s="51">
        <v>13000.0</v>
      </c>
      <c r="W23" s="52" t="b">
        <v>1</v>
      </c>
      <c r="X23" s="53" t="b">
        <v>0</v>
      </c>
      <c r="Y23" s="49">
        <v>0.0</v>
      </c>
      <c r="Z23" s="1"/>
      <c r="AA23" s="1"/>
    </row>
    <row r="24">
      <c r="A24" s="48" t="s">
        <v>43</v>
      </c>
      <c r="B24" s="50">
        <v>0.0</v>
      </c>
      <c r="C24" s="50" t="str">
        <f>IF(AND(F24=E24,E24=F24),"$0","$14.200")</f>
        <v>$14.200</v>
      </c>
      <c r="D24" s="51">
        <v>14200.0</v>
      </c>
      <c r="E24" s="52" t="b">
        <v>0</v>
      </c>
      <c r="F24" s="53" t="b">
        <v>1</v>
      </c>
      <c r="G24" s="49">
        <v>0.0</v>
      </c>
      <c r="H24" s="1"/>
      <c r="I24" s="1"/>
      <c r="J24" s="48" t="s">
        <v>43</v>
      </c>
      <c r="K24" s="50">
        <v>0.0</v>
      </c>
      <c r="L24" s="50" t="str">
        <f>IF(AND(O24=N24,N24=O24),"$0","$14.200")</f>
        <v>$14.200</v>
      </c>
      <c r="M24" s="51">
        <v>14200.0</v>
      </c>
      <c r="N24" s="52" t="b">
        <v>1</v>
      </c>
      <c r="O24" s="53" t="b">
        <v>0</v>
      </c>
      <c r="P24" s="49">
        <v>0.0</v>
      </c>
      <c r="Q24" s="1"/>
      <c r="R24" s="1"/>
      <c r="S24" s="48" t="s">
        <v>43</v>
      </c>
      <c r="T24" s="49">
        <v>0.0</v>
      </c>
      <c r="U24" s="50" t="str">
        <f>IF(AND(X24=W24,W24=X24),"$0","$14.200")</f>
        <v>$0</v>
      </c>
      <c r="V24" s="51">
        <v>14200.0</v>
      </c>
      <c r="W24" s="52" t="b">
        <v>0</v>
      </c>
      <c r="X24" s="53" t="b">
        <v>0</v>
      </c>
      <c r="Y24" s="49">
        <v>0.0</v>
      </c>
      <c r="Z24" s="1"/>
      <c r="AA24" s="1"/>
    </row>
    <row r="25">
      <c r="A25" s="48" t="s">
        <v>44</v>
      </c>
      <c r="B25" s="50">
        <v>0.0</v>
      </c>
      <c r="C25" s="60" t="str">
        <f>IF(AND(F25=E25,E25=F25),"$0","$21.400")</f>
        <v>$0</v>
      </c>
      <c r="D25" s="61">
        <v>21400.0</v>
      </c>
      <c r="E25" s="52" t="b">
        <v>0</v>
      </c>
      <c r="F25" s="53" t="b">
        <v>0</v>
      </c>
      <c r="G25" s="49">
        <v>0.0</v>
      </c>
      <c r="H25" s="1"/>
      <c r="I25" s="1"/>
      <c r="J25" s="48" t="s">
        <v>44</v>
      </c>
      <c r="K25" s="50">
        <v>0.0</v>
      </c>
      <c r="L25" s="60" t="str">
        <f>IF(AND(O25=N25,N25=O25),"$0","$21.400")</f>
        <v>$0</v>
      </c>
      <c r="M25" s="61">
        <v>21400.0</v>
      </c>
      <c r="N25" s="52" t="b">
        <v>0</v>
      </c>
      <c r="O25" s="53" t="b">
        <v>0</v>
      </c>
      <c r="P25" s="49">
        <v>0.0</v>
      </c>
      <c r="Q25" s="1"/>
      <c r="R25" s="1"/>
      <c r="S25" s="48" t="s">
        <v>44</v>
      </c>
      <c r="T25" s="49">
        <v>0.0</v>
      </c>
      <c r="U25" s="60" t="str">
        <f>IF(AND(X25=W25,W25=X25),"$0","$21.400")</f>
        <v>$0</v>
      </c>
      <c r="V25" s="61">
        <v>21400.0</v>
      </c>
      <c r="W25" s="52" t="b">
        <v>0</v>
      </c>
      <c r="X25" s="53" t="b">
        <v>0</v>
      </c>
      <c r="Y25" s="49">
        <v>0.0</v>
      </c>
      <c r="Z25" s="1"/>
      <c r="AA25" s="1"/>
    </row>
    <row r="26">
      <c r="A26" s="48" t="s">
        <v>45</v>
      </c>
      <c r="B26" s="50">
        <v>0.0</v>
      </c>
      <c r="C26" s="50" t="str">
        <f>IF(AND(F26=E26,E26=F26),"$0","$30.000")</f>
        <v>$30.000</v>
      </c>
      <c r="D26" s="51">
        <v>30000.0</v>
      </c>
      <c r="E26" s="52" t="b">
        <v>1</v>
      </c>
      <c r="F26" s="53" t="b">
        <v>0</v>
      </c>
      <c r="G26" s="49">
        <v>0.0</v>
      </c>
      <c r="H26" s="1"/>
      <c r="I26" s="1"/>
      <c r="J26" s="48" t="s">
        <v>45</v>
      </c>
      <c r="K26" s="50">
        <v>0.0</v>
      </c>
      <c r="L26" s="50" t="str">
        <f>IF(AND(O26=N26,N26=O26),"$0","$30.000")</f>
        <v>$0</v>
      </c>
      <c r="M26" s="51">
        <v>30000.0</v>
      </c>
      <c r="N26" s="52" t="b">
        <v>0</v>
      </c>
      <c r="O26" s="53" t="b">
        <v>0</v>
      </c>
      <c r="P26" s="49">
        <v>0.0</v>
      </c>
      <c r="Q26" s="1"/>
      <c r="R26" s="1"/>
      <c r="S26" s="48" t="s">
        <v>45</v>
      </c>
      <c r="T26" s="49">
        <v>0.0</v>
      </c>
      <c r="U26" s="50" t="str">
        <f>IF(AND(X26=W26,W26=X26),"$0","$30.000")</f>
        <v>$0</v>
      </c>
      <c r="V26" s="51">
        <v>30000.0</v>
      </c>
      <c r="W26" s="52" t="b">
        <v>0</v>
      </c>
      <c r="X26" s="53" t="b">
        <v>0</v>
      </c>
      <c r="Y26" s="49">
        <v>0.0</v>
      </c>
      <c r="Z26" s="1"/>
      <c r="AA26" s="1"/>
    </row>
    <row r="27">
      <c r="A27" s="48" t="s">
        <v>46</v>
      </c>
      <c r="B27" s="50">
        <v>0.0</v>
      </c>
      <c r="C27" s="50" t="str">
        <f>IF(AND(F27=E27,E27=F27),"$0","$10500")</f>
        <v>$10500</v>
      </c>
      <c r="D27" s="51">
        <v>10500.0</v>
      </c>
      <c r="E27" s="52" t="b">
        <v>0</v>
      </c>
      <c r="F27" s="53" t="b">
        <v>1</v>
      </c>
      <c r="G27" s="49">
        <v>0.0</v>
      </c>
      <c r="H27" s="1"/>
      <c r="I27" s="1"/>
      <c r="J27" s="48" t="s">
        <v>46</v>
      </c>
      <c r="K27" s="50">
        <v>0.0</v>
      </c>
      <c r="L27" s="50" t="str">
        <f>IF(AND(O27=N27,N27=O27),"$0","$10500")</f>
        <v>$10500</v>
      </c>
      <c r="M27" s="51">
        <v>10500.0</v>
      </c>
      <c r="N27" s="52" t="b">
        <v>1</v>
      </c>
      <c r="O27" s="53" t="b">
        <v>0</v>
      </c>
      <c r="P27" s="49">
        <v>0.0</v>
      </c>
      <c r="Q27" s="1"/>
      <c r="R27" s="1"/>
      <c r="S27" s="48" t="s">
        <v>46</v>
      </c>
      <c r="T27" s="49">
        <v>0.0</v>
      </c>
      <c r="U27" s="50" t="str">
        <f>IF(AND(X27=W27,W27=X27),"$0","$10500")</f>
        <v>$10500</v>
      </c>
      <c r="V27" s="51">
        <v>10500.0</v>
      </c>
      <c r="W27" s="52" t="b">
        <v>0</v>
      </c>
      <c r="X27" s="53" t="b">
        <v>1</v>
      </c>
      <c r="Y27" s="49">
        <v>0.0</v>
      </c>
      <c r="Z27" s="1"/>
      <c r="AA27" s="1"/>
    </row>
    <row r="28">
      <c r="A28" s="48" t="s">
        <v>47</v>
      </c>
      <c r="B28" s="50">
        <v>0.0</v>
      </c>
      <c r="C28" s="50" t="str">
        <f>IF(AND(F28=E28,E28=F28),"$0","$26.400")</f>
        <v>$26.400</v>
      </c>
      <c r="D28" s="51">
        <v>26400.0</v>
      </c>
      <c r="E28" s="52" t="b">
        <v>1</v>
      </c>
      <c r="F28" s="53" t="b">
        <v>0</v>
      </c>
      <c r="G28" s="49">
        <v>0.0</v>
      </c>
      <c r="H28" s="1"/>
      <c r="I28" s="1"/>
      <c r="J28" s="48" t="s">
        <v>47</v>
      </c>
      <c r="K28" s="50">
        <v>0.0</v>
      </c>
      <c r="L28" s="50" t="str">
        <f>IF(AND(O28=N28,N28=O28),"$0","$26.400")</f>
        <v>$0</v>
      </c>
      <c r="M28" s="51">
        <v>26400.0</v>
      </c>
      <c r="N28" s="52" t="b">
        <v>0</v>
      </c>
      <c r="O28" s="53" t="b">
        <v>0</v>
      </c>
      <c r="P28" s="49">
        <v>0.0</v>
      </c>
      <c r="Q28" s="1"/>
      <c r="R28" s="25"/>
      <c r="S28" s="48" t="s">
        <v>47</v>
      </c>
      <c r="T28" s="49">
        <v>0.0</v>
      </c>
      <c r="U28" s="50" t="str">
        <f>IF(AND(X28=W28,W28=X28),"$0","$26.400")</f>
        <v>$26.400</v>
      </c>
      <c r="V28" s="51">
        <v>26400.0</v>
      </c>
      <c r="W28" s="52" t="b">
        <v>1</v>
      </c>
      <c r="X28" s="53" t="b">
        <v>0</v>
      </c>
      <c r="Y28" s="49">
        <v>0.0</v>
      </c>
      <c r="Z28" s="1"/>
      <c r="AA28" s="1"/>
    </row>
    <row r="29">
      <c r="A29" s="48" t="s">
        <v>48</v>
      </c>
      <c r="B29" s="50">
        <v>0.0</v>
      </c>
      <c r="C29" s="50" t="str">
        <f>IF(AND(F29=E29,E29=F29),"$0","$12.600")</f>
        <v>$0</v>
      </c>
      <c r="D29" s="51">
        <v>12600.0</v>
      </c>
      <c r="E29" s="52" t="b">
        <v>0</v>
      </c>
      <c r="F29" s="53" t="b">
        <v>0</v>
      </c>
      <c r="G29" s="49">
        <v>0.0</v>
      </c>
      <c r="H29" s="1"/>
      <c r="I29" s="1"/>
      <c r="J29" s="48" t="s">
        <v>48</v>
      </c>
      <c r="K29" s="50">
        <v>0.0</v>
      </c>
      <c r="L29" s="50" t="str">
        <f>IF(AND(O29=N29,N29=O29),"$0","$12.600")</f>
        <v>$12.600</v>
      </c>
      <c r="M29" s="51">
        <v>12600.0</v>
      </c>
      <c r="N29" s="52" t="b">
        <v>0</v>
      </c>
      <c r="O29" s="53" t="b">
        <v>1</v>
      </c>
      <c r="P29" s="49">
        <v>0.0</v>
      </c>
      <c r="Q29" s="1"/>
      <c r="R29" s="25"/>
      <c r="S29" s="48" t="s">
        <v>48</v>
      </c>
      <c r="T29" s="49">
        <v>0.0</v>
      </c>
      <c r="U29" s="50" t="str">
        <f>IF(AND(X29=W29,W29=X29),"$0","$12.600")</f>
        <v>$12.600</v>
      </c>
      <c r="V29" s="51">
        <v>12600.0</v>
      </c>
      <c r="W29" s="52" t="b">
        <v>0</v>
      </c>
      <c r="X29" s="53" t="b">
        <v>1</v>
      </c>
      <c r="Y29" s="49">
        <v>0.0</v>
      </c>
      <c r="Z29" s="1"/>
      <c r="AA29" s="1"/>
    </row>
    <row r="30">
      <c r="A30" s="48" t="s">
        <v>49</v>
      </c>
      <c r="B30" s="50">
        <v>0.0</v>
      </c>
      <c r="C30" s="50" t="str">
        <f>IF(AND(F30=E30,E30=F30),"$0","$26.400")</f>
        <v>$0</v>
      </c>
      <c r="D30" s="51">
        <v>26400.0</v>
      </c>
      <c r="E30" s="52" t="b">
        <v>0</v>
      </c>
      <c r="F30" s="53" t="b">
        <v>0</v>
      </c>
      <c r="G30" s="49">
        <v>0.0</v>
      </c>
      <c r="H30" s="1"/>
      <c r="I30" s="1"/>
      <c r="J30" s="48" t="s">
        <v>49</v>
      </c>
      <c r="K30" s="50">
        <v>0.0</v>
      </c>
      <c r="L30" s="50" t="str">
        <f>IF(AND(O30=N30,N30=O30),"$0","$26.400")</f>
        <v>$0</v>
      </c>
      <c r="M30" s="51">
        <v>26400.0</v>
      </c>
      <c r="N30" s="52" t="b">
        <v>0</v>
      </c>
      <c r="O30" s="53" t="b">
        <v>0</v>
      </c>
      <c r="P30" s="49">
        <v>0.0</v>
      </c>
      <c r="Q30" s="1"/>
      <c r="R30" s="25"/>
      <c r="S30" s="48" t="s">
        <v>49</v>
      </c>
      <c r="T30" s="49">
        <v>0.0</v>
      </c>
      <c r="U30" s="50" t="str">
        <f>IF(AND(X30=W30,W30=X30),"$0","$26.400")</f>
        <v>$26.400</v>
      </c>
      <c r="V30" s="51">
        <v>26400.0</v>
      </c>
      <c r="W30" s="52" t="b">
        <v>1</v>
      </c>
      <c r="X30" s="53" t="b">
        <v>0</v>
      </c>
      <c r="Y30" s="49">
        <v>0.0</v>
      </c>
      <c r="Z30" s="1"/>
      <c r="AA30" s="1"/>
    </row>
    <row r="31">
      <c r="A31" s="48" t="s">
        <v>50</v>
      </c>
      <c r="B31" s="50">
        <v>0.0</v>
      </c>
      <c r="C31" s="50" t="str">
        <f>IF(AND(F31=E31,E31=F31),"$0","$34.600")</f>
        <v>$0</v>
      </c>
      <c r="D31" s="51">
        <v>34600.0</v>
      </c>
      <c r="E31" s="52" t="b">
        <v>0</v>
      </c>
      <c r="F31" s="53" t="b">
        <v>0</v>
      </c>
      <c r="G31" s="49">
        <v>0.0</v>
      </c>
      <c r="H31" s="1"/>
      <c r="I31" s="1"/>
      <c r="J31" s="48" t="s">
        <v>50</v>
      </c>
      <c r="K31" s="50">
        <v>0.0</v>
      </c>
      <c r="L31" s="50" t="str">
        <f>IF(AND(O31=N31,N31=O31),"$0","$34.600")</f>
        <v>$0</v>
      </c>
      <c r="M31" s="51">
        <v>34600.0</v>
      </c>
      <c r="N31" s="52" t="b">
        <v>0</v>
      </c>
      <c r="O31" s="53" t="b">
        <v>0</v>
      </c>
      <c r="P31" s="49">
        <v>0.0</v>
      </c>
      <c r="Q31" s="1"/>
      <c r="R31" s="25"/>
      <c r="S31" s="48" t="s">
        <v>50</v>
      </c>
      <c r="T31" s="49">
        <v>0.0</v>
      </c>
      <c r="U31" s="50" t="str">
        <f>IF(AND(X31=W31,W31=X31),"$0","$34.600")</f>
        <v>$0</v>
      </c>
      <c r="V31" s="51">
        <v>34600.0</v>
      </c>
      <c r="W31" s="52" t="b">
        <v>0</v>
      </c>
      <c r="X31" s="53" t="b">
        <v>0</v>
      </c>
      <c r="Y31" s="49">
        <v>0.0</v>
      </c>
      <c r="Z31" s="1"/>
      <c r="AA31" s="1"/>
    </row>
    <row r="32">
      <c r="A32" s="48" t="s">
        <v>51</v>
      </c>
      <c r="B32" s="50">
        <v>0.0</v>
      </c>
      <c r="C32" s="50" t="str">
        <f>IF(AND(F32=E32,E32=F32),"$0","$12.700")</f>
        <v>$0</v>
      </c>
      <c r="D32" s="51">
        <v>20900.0</v>
      </c>
      <c r="E32" s="52" t="b">
        <v>0</v>
      </c>
      <c r="F32" s="53" t="b">
        <v>0</v>
      </c>
      <c r="G32" s="49">
        <v>0.0</v>
      </c>
      <c r="H32" s="1"/>
      <c r="I32" s="1"/>
      <c r="J32" s="48" t="s">
        <v>51</v>
      </c>
      <c r="K32" s="50">
        <v>0.0</v>
      </c>
      <c r="L32" s="50" t="str">
        <f>IF(AND(O32=N32,N32=O32),"$0","$12.700")</f>
        <v>$12.700</v>
      </c>
      <c r="M32" s="51">
        <v>20900.0</v>
      </c>
      <c r="N32" s="52" t="b">
        <v>0</v>
      </c>
      <c r="O32" s="53" t="b">
        <v>1</v>
      </c>
      <c r="P32" s="49">
        <v>0.0</v>
      </c>
      <c r="Q32" s="1"/>
      <c r="R32" s="25"/>
      <c r="S32" s="48" t="s">
        <v>51</v>
      </c>
      <c r="T32" s="49">
        <v>0.0</v>
      </c>
      <c r="U32" s="50" t="str">
        <f>IF(AND(X32=W32,W32=X32),"$0","$12.700")</f>
        <v>$0</v>
      </c>
      <c r="V32" s="51">
        <v>20900.0</v>
      </c>
      <c r="W32" s="52" t="b">
        <v>0</v>
      </c>
      <c r="X32" s="53" t="b">
        <v>0</v>
      </c>
      <c r="Y32" s="49">
        <v>0.0</v>
      </c>
      <c r="Z32" s="1"/>
      <c r="AA32" s="1"/>
    </row>
    <row r="33">
      <c r="A33" s="48" t="s">
        <v>51</v>
      </c>
      <c r="B33" s="50">
        <v>0.0</v>
      </c>
      <c r="C33" s="50" t="str">
        <f t="shared" ref="C33:C34" si="8">IF(AND(F33=E33,E33=F33),"$0","$9.700")</f>
        <v>$9.700</v>
      </c>
      <c r="D33" s="51">
        <v>9700.0</v>
      </c>
      <c r="E33" s="52" t="b">
        <v>0</v>
      </c>
      <c r="F33" s="53" t="b">
        <v>1</v>
      </c>
      <c r="G33" s="49">
        <v>0.0</v>
      </c>
      <c r="H33" s="1"/>
      <c r="I33" s="1"/>
      <c r="J33" s="48" t="s">
        <v>51</v>
      </c>
      <c r="K33" s="50">
        <v>0.0</v>
      </c>
      <c r="L33" s="50" t="str">
        <f t="shared" ref="L33:L34" si="9">IF(AND(O33=N33,N33=O33),"$0","$9.700")</f>
        <v>$0</v>
      </c>
      <c r="M33" s="51">
        <v>9700.0</v>
      </c>
      <c r="N33" s="52" t="b">
        <v>0</v>
      </c>
      <c r="O33" s="53" t="b">
        <v>0</v>
      </c>
      <c r="P33" s="49">
        <v>0.0</v>
      </c>
      <c r="Q33" s="1"/>
      <c r="R33" s="25"/>
      <c r="S33" s="48" t="s">
        <v>51</v>
      </c>
      <c r="T33" s="49">
        <v>0.0</v>
      </c>
      <c r="U33" s="50" t="str">
        <f t="shared" ref="U33:U34" si="10">IF(AND(X33=W33,W33=X33),"$0","$9.700")</f>
        <v>$0</v>
      </c>
      <c r="V33" s="51">
        <v>9700.0</v>
      </c>
      <c r="W33" s="52" t="b">
        <v>0</v>
      </c>
      <c r="X33" s="53" t="b">
        <v>0</v>
      </c>
      <c r="Y33" s="49">
        <v>0.0</v>
      </c>
      <c r="Z33" s="1"/>
      <c r="AA33" s="1"/>
    </row>
    <row r="34">
      <c r="A34" s="48" t="s">
        <v>52</v>
      </c>
      <c r="B34" s="49">
        <v>14700.0</v>
      </c>
      <c r="C34" s="50" t="str">
        <f t="shared" si="8"/>
        <v>$0</v>
      </c>
      <c r="D34" s="51">
        <v>16700.0</v>
      </c>
      <c r="E34" s="52" t="b">
        <v>0</v>
      </c>
      <c r="F34" s="53" t="b">
        <v>0</v>
      </c>
      <c r="G34" s="49">
        <v>7000.0</v>
      </c>
      <c r="H34" s="1"/>
      <c r="I34" s="17"/>
      <c r="J34" s="48" t="s">
        <v>52</v>
      </c>
      <c r="K34" s="49">
        <v>0.0</v>
      </c>
      <c r="L34" s="50" t="str">
        <f t="shared" si="9"/>
        <v>$9.700</v>
      </c>
      <c r="M34" s="51">
        <v>16700.0</v>
      </c>
      <c r="N34" s="52" t="b">
        <v>0</v>
      </c>
      <c r="O34" s="53" t="b">
        <v>1</v>
      </c>
      <c r="P34" s="49">
        <v>0.0</v>
      </c>
      <c r="Q34" s="1"/>
      <c r="R34" s="25"/>
      <c r="S34" s="48" t="s">
        <v>52</v>
      </c>
      <c r="T34" s="49">
        <v>0.0</v>
      </c>
      <c r="U34" s="50" t="str">
        <f t="shared" si="10"/>
        <v>$9.700</v>
      </c>
      <c r="V34" s="51">
        <v>16700.0</v>
      </c>
      <c r="W34" s="52" t="b">
        <v>0</v>
      </c>
      <c r="X34" s="53" t="b">
        <v>1</v>
      </c>
      <c r="Y34" s="49">
        <v>0.0</v>
      </c>
      <c r="Z34" s="1"/>
      <c r="AA34" s="1"/>
    </row>
    <row r="35">
      <c r="A35" s="48" t="s">
        <v>53</v>
      </c>
      <c r="B35" s="50">
        <v>0.0</v>
      </c>
      <c r="C35" s="50" t="str">
        <f>IF(AND(F35=E35,E35=F35),"$0","$26.400")</f>
        <v>$26.400</v>
      </c>
      <c r="D35" s="51">
        <v>26400.0</v>
      </c>
      <c r="E35" s="52" t="b">
        <v>0</v>
      </c>
      <c r="F35" s="53" t="b">
        <v>1</v>
      </c>
      <c r="G35" s="49">
        <v>0.0</v>
      </c>
      <c r="H35" s="1"/>
      <c r="I35" s="17" t="s">
        <v>131</v>
      </c>
      <c r="J35" s="48" t="s">
        <v>53</v>
      </c>
      <c r="K35" s="50">
        <v>0.0</v>
      </c>
      <c r="L35" s="50" t="str">
        <f>IF(AND(O35=N35,N35=O35),"$0","$26.400")</f>
        <v>$26.400</v>
      </c>
      <c r="M35" s="51">
        <v>26400.0</v>
      </c>
      <c r="N35" s="52" t="b">
        <v>0</v>
      </c>
      <c r="O35" s="53" t="b">
        <v>1</v>
      </c>
      <c r="P35" s="49">
        <v>0.0</v>
      </c>
      <c r="Q35" s="1"/>
      <c r="R35" s="25"/>
      <c r="S35" s="48" t="s">
        <v>53</v>
      </c>
      <c r="T35" s="49">
        <v>0.0</v>
      </c>
      <c r="U35" s="50" t="str">
        <f>IF(AND(X35=W35,W35=X35),"$0","$26.400")</f>
        <v>$26.400</v>
      </c>
      <c r="V35" s="51">
        <v>26400.0</v>
      </c>
      <c r="W35" s="52" t="b">
        <v>0</v>
      </c>
      <c r="X35" s="53" t="b">
        <v>1</v>
      </c>
      <c r="Y35" s="49">
        <v>0.0</v>
      </c>
      <c r="Z35" s="1"/>
      <c r="AA35" s="1"/>
    </row>
    <row r="36">
      <c r="A36" s="48" t="s">
        <v>54</v>
      </c>
      <c r="B36" s="50">
        <v>0.0</v>
      </c>
      <c r="C36" s="50" t="str">
        <f>IF(AND(F36=E36,E36=F36),"$0","$10.000")</f>
        <v>$10.000</v>
      </c>
      <c r="D36" s="51">
        <v>10000.0</v>
      </c>
      <c r="E36" s="52" t="b">
        <v>0</v>
      </c>
      <c r="F36" s="53" t="b">
        <v>1</v>
      </c>
      <c r="G36" s="49">
        <v>0.0</v>
      </c>
      <c r="H36" s="1"/>
      <c r="I36" s="1"/>
      <c r="J36" s="48" t="s">
        <v>54</v>
      </c>
      <c r="K36" s="50">
        <v>0.0</v>
      </c>
      <c r="L36" s="50" t="str">
        <f>IF(AND(O36=N36,N36=O36),"$0","$10.000")</f>
        <v>$0</v>
      </c>
      <c r="M36" s="51">
        <v>10000.0</v>
      </c>
      <c r="N36" s="52" t="b">
        <v>0</v>
      </c>
      <c r="O36" s="53" t="b">
        <v>0</v>
      </c>
      <c r="P36" s="49">
        <v>0.0</v>
      </c>
      <c r="Q36" s="1"/>
      <c r="R36" s="25"/>
      <c r="S36" s="48" t="s">
        <v>54</v>
      </c>
      <c r="T36" s="49">
        <v>0.0</v>
      </c>
      <c r="U36" s="50" t="str">
        <f>IF(AND(X36=W36,W36=X36),"$0","$10.000")</f>
        <v>$0</v>
      </c>
      <c r="V36" s="51">
        <v>10000.0</v>
      </c>
      <c r="W36" s="52" t="b">
        <v>0</v>
      </c>
      <c r="X36" s="53" t="b">
        <v>0</v>
      </c>
      <c r="Y36" s="49">
        <v>20000.0</v>
      </c>
      <c r="Z36" s="1"/>
      <c r="AA36" s="1"/>
    </row>
    <row r="37">
      <c r="A37" s="48" t="s">
        <v>54</v>
      </c>
      <c r="B37" s="50">
        <v>0.0</v>
      </c>
      <c r="C37" s="50" t="str">
        <f>IF(AND(F37=E37,E37=F37),"$0","$13.200")</f>
        <v>$13.200</v>
      </c>
      <c r="D37" s="51">
        <v>13200.0</v>
      </c>
      <c r="E37" s="52" t="b">
        <v>0</v>
      </c>
      <c r="F37" s="53" t="b">
        <v>1</v>
      </c>
      <c r="G37" s="49">
        <v>0.0</v>
      </c>
      <c r="H37" s="1"/>
      <c r="I37" s="1"/>
      <c r="J37" s="48" t="s">
        <v>54</v>
      </c>
      <c r="K37" s="50">
        <v>0.0</v>
      </c>
      <c r="L37" s="50" t="str">
        <f>IF(AND(O37=N37,N37=O37),"$0","$13.200")</f>
        <v>$0</v>
      </c>
      <c r="M37" s="51">
        <v>13200.0</v>
      </c>
      <c r="N37" s="52" t="b">
        <v>0</v>
      </c>
      <c r="O37" s="53" t="b">
        <v>0</v>
      </c>
      <c r="P37" s="49">
        <v>0.0</v>
      </c>
      <c r="Q37" s="1"/>
      <c r="R37" s="25"/>
      <c r="S37" s="48" t="s">
        <v>54</v>
      </c>
      <c r="T37" s="49">
        <v>0.0</v>
      </c>
      <c r="U37" s="50" t="str">
        <f>IF(AND(X37=W37,W37=X37),"$0","$13.200")</f>
        <v>$0</v>
      </c>
      <c r="V37" s="51">
        <v>13200.0</v>
      </c>
      <c r="W37" s="52" t="b">
        <v>0</v>
      </c>
      <c r="X37" s="53" t="b">
        <v>0</v>
      </c>
      <c r="Y37" s="49">
        <v>26400.0</v>
      </c>
      <c r="Z37" s="1"/>
      <c r="AA37" s="1"/>
    </row>
    <row r="38">
      <c r="A38" s="48" t="s">
        <v>55</v>
      </c>
      <c r="B38" s="50">
        <v>0.0</v>
      </c>
      <c r="C38" s="50" t="str">
        <f>IF(AND(F38=E38,E38=F38),"$0","$29.800")</f>
        <v>$29.800</v>
      </c>
      <c r="D38" s="64">
        <v>29800.0</v>
      </c>
      <c r="E38" s="52" t="b">
        <v>1</v>
      </c>
      <c r="F38" s="53" t="b">
        <v>0</v>
      </c>
      <c r="G38" s="49">
        <v>0.0</v>
      </c>
      <c r="H38" s="1"/>
      <c r="I38" s="1"/>
      <c r="J38" s="48" t="s">
        <v>55</v>
      </c>
      <c r="K38" s="50">
        <v>0.0</v>
      </c>
      <c r="L38" s="50" t="str">
        <f>IF(AND(O38=N38,N38=O38),"$0","$29.800")</f>
        <v>$0</v>
      </c>
      <c r="M38" s="64">
        <v>29800.0</v>
      </c>
      <c r="N38" s="52" t="b">
        <v>0</v>
      </c>
      <c r="O38" s="53" t="b">
        <v>0</v>
      </c>
      <c r="P38" s="49">
        <v>0.0</v>
      </c>
      <c r="Q38" s="1"/>
      <c r="R38" s="25"/>
      <c r="S38" s="48" t="s">
        <v>55</v>
      </c>
      <c r="T38" s="49">
        <v>0.0</v>
      </c>
      <c r="U38" s="50" t="str">
        <f>IF(AND(X38=W38,W38=X38),"$0","$29.800")</f>
        <v>$0</v>
      </c>
      <c r="V38" s="64">
        <v>29800.0</v>
      </c>
      <c r="W38" s="52" t="b">
        <v>0</v>
      </c>
      <c r="X38" s="53" t="b">
        <v>0</v>
      </c>
      <c r="Y38" s="49">
        <v>0.0</v>
      </c>
      <c r="Z38" s="1"/>
      <c r="AA38" s="1"/>
    </row>
    <row r="39">
      <c r="A39" s="48" t="s">
        <v>55</v>
      </c>
      <c r="B39" s="50">
        <v>0.0</v>
      </c>
      <c r="C39" s="65" t="str">
        <f>IF(AND(F39=E39,E39=F39),"$0","$28.000")</f>
        <v>$0</v>
      </c>
      <c r="D39" s="65">
        <v>28000.0</v>
      </c>
      <c r="E39" s="52" t="b">
        <v>0</v>
      </c>
      <c r="F39" s="53" t="b">
        <v>0</v>
      </c>
      <c r="G39" s="49">
        <v>0.0</v>
      </c>
      <c r="H39" s="1"/>
      <c r="I39" s="1"/>
      <c r="J39" s="48" t="s">
        <v>55</v>
      </c>
      <c r="K39" s="50">
        <v>0.0</v>
      </c>
      <c r="L39" s="65" t="str">
        <f>IF(AND(O39=N39,N39=O39),"$0","$28.000")</f>
        <v>$0</v>
      </c>
      <c r="M39" s="65">
        <v>28000.0</v>
      </c>
      <c r="N39" s="52" t="b">
        <v>0</v>
      </c>
      <c r="O39" s="53" t="b">
        <v>0</v>
      </c>
      <c r="P39" s="49">
        <v>0.0</v>
      </c>
      <c r="Q39" s="1"/>
      <c r="R39" s="25"/>
      <c r="S39" s="48" t="s">
        <v>55</v>
      </c>
      <c r="T39" s="49">
        <v>0.0</v>
      </c>
      <c r="U39" s="65" t="str">
        <f>IF(AND(X39=W39,W39=X39),"$0","$28.000")</f>
        <v>$28.000</v>
      </c>
      <c r="V39" s="65">
        <v>28000.0</v>
      </c>
      <c r="W39" s="52" t="b">
        <v>1</v>
      </c>
      <c r="X39" s="53" t="b">
        <v>0</v>
      </c>
      <c r="Y39" s="49">
        <v>0.0</v>
      </c>
      <c r="Z39" s="1"/>
      <c r="AA39" s="1"/>
    </row>
    <row r="40">
      <c r="A40" s="48" t="s">
        <v>55</v>
      </c>
      <c r="B40" s="50">
        <v>0.0</v>
      </c>
      <c r="C40" s="65" t="str">
        <f>IF(AND(F40=E40,E40=F40),"$0","$12.500")</f>
        <v>$0</v>
      </c>
      <c r="D40" s="66">
        <v>12500.0</v>
      </c>
      <c r="E40" s="52" t="b">
        <v>0</v>
      </c>
      <c r="F40" s="53" t="b">
        <v>0</v>
      </c>
      <c r="G40" s="49">
        <v>0.0</v>
      </c>
      <c r="H40" s="1"/>
      <c r="I40" s="1"/>
      <c r="J40" s="48" t="s">
        <v>55</v>
      </c>
      <c r="K40" s="50">
        <v>0.0</v>
      </c>
      <c r="L40" s="65" t="str">
        <f>IF(AND(O40=N40,N40=O40),"$0","$12.500")</f>
        <v>$0</v>
      </c>
      <c r="M40" s="66">
        <v>12500.0</v>
      </c>
      <c r="N40" s="52" t="b">
        <v>0</v>
      </c>
      <c r="O40" s="53" t="b">
        <v>0</v>
      </c>
      <c r="P40" s="49">
        <v>0.0</v>
      </c>
      <c r="Q40" s="1"/>
      <c r="R40" s="25"/>
      <c r="S40" s="48" t="s">
        <v>55</v>
      </c>
      <c r="T40" s="49">
        <v>0.0</v>
      </c>
      <c r="U40" s="65" t="str">
        <f>IF(AND(X40=W40,W40=X40),"$0","$12.500")</f>
        <v>$0</v>
      </c>
      <c r="V40" s="66">
        <v>12500.0</v>
      </c>
      <c r="W40" s="52" t="b">
        <v>0</v>
      </c>
      <c r="X40" s="53" t="b">
        <v>0</v>
      </c>
      <c r="Y40" s="49">
        <v>0.0</v>
      </c>
      <c r="Z40" s="1"/>
      <c r="AA40" s="1"/>
    </row>
    <row r="41">
      <c r="A41" s="58" t="s">
        <v>56</v>
      </c>
      <c r="B41" s="50">
        <v>0.0</v>
      </c>
      <c r="C41" s="65" t="str">
        <f>IF(AND(F41=E41,E41=F41),"$0","$10.000")</f>
        <v>$10.000</v>
      </c>
      <c r="D41" s="66">
        <v>10000.0</v>
      </c>
      <c r="E41" s="52" t="b">
        <v>0</v>
      </c>
      <c r="F41" s="53" t="b">
        <v>1</v>
      </c>
      <c r="G41" s="49">
        <v>0.0</v>
      </c>
      <c r="H41" s="1"/>
      <c r="I41" s="1"/>
      <c r="J41" s="58" t="s">
        <v>56</v>
      </c>
      <c r="K41" s="50">
        <v>0.0</v>
      </c>
      <c r="L41" s="65" t="str">
        <f>IF(AND(O41=N41,N41=O41),"$0","$10.000")</f>
        <v>$10.000</v>
      </c>
      <c r="M41" s="66">
        <v>10000.0</v>
      </c>
      <c r="N41" s="52" t="b">
        <v>0</v>
      </c>
      <c r="O41" s="53" t="b">
        <v>1</v>
      </c>
      <c r="P41" s="49">
        <v>0.0</v>
      </c>
      <c r="Q41" s="1"/>
      <c r="R41" s="25"/>
      <c r="S41" s="58" t="s">
        <v>56</v>
      </c>
      <c r="T41" s="49">
        <v>0.0</v>
      </c>
      <c r="U41" s="65" t="str">
        <f>IF(AND(X41=W41,W41=X41),"$0","$10.000")</f>
        <v>$10.000</v>
      </c>
      <c r="V41" s="66">
        <v>10000.0</v>
      </c>
      <c r="W41" s="52" t="b">
        <v>0</v>
      </c>
      <c r="X41" s="53" t="b">
        <v>1</v>
      </c>
      <c r="Y41" s="49">
        <v>0.0</v>
      </c>
      <c r="Z41" s="1"/>
      <c r="AA41" s="1"/>
    </row>
    <row r="42">
      <c r="A42" s="48" t="s">
        <v>57</v>
      </c>
      <c r="B42" s="49">
        <v>26900.0</v>
      </c>
      <c r="C42" s="64" t="str">
        <f>IF(AND(F42=E42,E42=F42),"$0","$20.900")</f>
        <v>$0</v>
      </c>
      <c r="D42" s="64">
        <v>20900.0</v>
      </c>
      <c r="E42" s="52" t="b">
        <v>0</v>
      </c>
      <c r="F42" s="53" t="b">
        <v>0</v>
      </c>
      <c r="G42" s="49">
        <v>0.0</v>
      </c>
      <c r="H42" s="1"/>
      <c r="I42" s="1"/>
      <c r="J42" s="48" t="s">
        <v>57</v>
      </c>
      <c r="K42" s="49">
        <v>26900.0</v>
      </c>
      <c r="L42" s="64" t="str">
        <f>IF(AND(O42=N42,N42=O42),"$0","$20.900")</f>
        <v>$0</v>
      </c>
      <c r="M42" s="64">
        <v>20900.0</v>
      </c>
      <c r="N42" s="52" t="b">
        <v>0</v>
      </c>
      <c r="O42" s="53" t="b">
        <v>0</v>
      </c>
      <c r="P42" s="49">
        <v>0.0</v>
      </c>
      <c r="Q42" s="1"/>
      <c r="R42" s="25"/>
      <c r="S42" s="48" t="s">
        <v>57</v>
      </c>
      <c r="T42" s="49">
        <v>26900.0</v>
      </c>
      <c r="U42" s="64" t="str">
        <f>IF(AND(X42=W42,W42=X42),"$0","$20.900")</f>
        <v>$0</v>
      </c>
      <c r="V42" s="64">
        <v>20900.0</v>
      </c>
      <c r="W42" s="52" t="b">
        <v>0</v>
      </c>
      <c r="X42" s="53" t="b">
        <v>0</v>
      </c>
      <c r="Y42" s="49">
        <v>0.0</v>
      </c>
      <c r="Z42" s="1"/>
      <c r="AA42" s="1"/>
    </row>
    <row r="43">
      <c r="A43" s="48" t="s">
        <v>57</v>
      </c>
      <c r="B43" s="50">
        <v>0.0</v>
      </c>
      <c r="C43" s="64" t="str">
        <f>IF(AND(F43=E43,E43=F43),"$0","$4.800")</f>
        <v>$0</v>
      </c>
      <c r="D43" s="51">
        <v>4800.0</v>
      </c>
      <c r="E43" s="52" t="b">
        <v>0</v>
      </c>
      <c r="F43" s="53" t="b">
        <v>0</v>
      </c>
      <c r="G43" s="49">
        <v>0.0</v>
      </c>
      <c r="H43" s="1"/>
      <c r="I43" s="1"/>
      <c r="J43" s="48" t="s">
        <v>57</v>
      </c>
      <c r="K43" s="50">
        <v>0.0</v>
      </c>
      <c r="L43" s="64" t="str">
        <f>IF(AND(O43=N43,N43=O43),"$0","$4.800")</f>
        <v>$0</v>
      </c>
      <c r="M43" s="51">
        <v>4800.0</v>
      </c>
      <c r="N43" s="52" t="b">
        <v>0</v>
      </c>
      <c r="O43" s="53" t="b">
        <v>0</v>
      </c>
      <c r="P43" s="49">
        <v>0.0</v>
      </c>
      <c r="Q43" s="1"/>
      <c r="R43" s="25"/>
      <c r="S43" s="48" t="s">
        <v>57</v>
      </c>
      <c r="T43" s="49">
        <v>0.0</v>
      </c>
      <c r="U43" s="64" t="str">
        <f>IF(AND(X43=W43,W43=X43),"$0","$4.800")</f>
        <v>$0</v>
      </c>
      <c r="V43" s="51">
        <v>4800.0</v>
      </c>
      <c r="W43" s="52" t="b">
        <v>0</v>
      </c>
      <c r="X43" s="53" t="b">
        <v>0</v>
      </c>
      <c r="Y43" s="49">
        <v>0.0</v>
      </c>
      <c r="Z43" s="1"/>
      <c r="AA43" s="1"/>
    </row>
    <row r="44">
      <c r="A44" s="48" t="s">
        <v>58</v>
      </c>
      <c r="B44" s="50">
        <v>0.0</v>
      </c>
      <c r="C44" s="64" t="str">
        <f>IF(AND(F44=E44,E44=F44),"$0","$11.100")</f>
        <v>$0</v>
      </c>
      <c r="D44" s="51">
        <v>11100.0</v>
      </c>
      <c r="E44" s="52" t="b">
        <v>0</v>
      </c>
      <c r="F44" s="53" t="b">
        <v>0</v>
      </c>
      <c r="G44" s="49">
        <v>0.0</v>
      </c>
      <c r="H44" s="1"/>
      <c r="I44" s="1"/>
      <c r="J44" s="48" t="s">
        <v>58</v>
      </c>
      <c r="K44" s="50">
        <v>0.0</v>
      </c>
      <c r="L44" s="64" t="str">
        <f>IF(AND(O44=N44,N44=O44),"$0","$11.100")</f>
        <v>$0</v>
      </c>
      <c r="M44" s="51">
        <v>11100.0</v>
      </c>
      <c r="N44" s="52" t="b">
        <v>0</v>
      </c>
      <c r="O44" s="53" t="b">
        <v>0</v>
      </c>
      <c r="P44" s="49">
        <v>0.0</v>
      </c>
      <c r="Q44" s="1"/>
      <c r="R44" s="25"/>
      <c r="S44" s="48" t="s">
        <v>58</v>
      </c>
      <c r="T44" s="49">
        <v>0.0</v>
      </c>
      <c r="U44" s="64" t="str">
        <f>IF(AND(X44=W44,W44=X44),"$0","$11.100")</f>
        <v>$0</v>
      </c>
      <c r="V44" s="51">
        <v>11100.0</v>
      </c>
      <c r="W44" s="52" t="b">
        <v>0</v>
      </c>
      <c r="X44" s="53" t="b">
        <v>0</v>
      </c>
      <c r="Y44" s="49">
        <v>0.0</v>
      </c>
      <c r="Z44" s="1"/>
      <c r="AA44" s="1"/>
    </row>
    <row r="45">
      <c r="A45" s="58" t="s">
        <v>59</v>
      </c>
      <c r="B45" s="50">
        <v>0.0</v>
      </c>
      <c r="C45" s="50" t="str">
        <f>IF(AND(F45=E45,E45=F45),"$0","$25.600")</f>
        <v>$0</v>
      </c>
      <c r="D45" s="66">
        <v>25600.0</v>
      </c>
      <c r="E45" s="52" t="b">
        <v>1</v>
      </c>
      <c r="F45" s="53" t="b">
        <v>1</v>
      </c>
      <c r="G45" s="49">
        <v>0.0</v>
      </c>
      <c r="H45" s="124"/>
      <c r="I45" s="1"/>
      <c r="J45" s="58" t="s">
        <v>59</v>
      </c>
      <c r="K45" s="50">
        <v>0.0</v>
      </c>
      <c r="L45" s="50" t="str">
        <f>IF(AND(O45=N45,N45=O45),"$0","$25.600")</f>
        <v>$0</v>
      </c>
      <c r="M45" s="66">
        <v>25600.0</v>
      </c>
      <c r="N45" s="52" t="b">
        <v>0</v>
      </c>
      <c r="O45" s="53" t="b">
        <v>0</v>
      </c>
      <c r="P45" s="49">
        <v>0.0</v>
      </c>
      <c r="Q45" s="1"/>
      <c r="R45" s="25"/>
      <c r="S45" s="58" t="s">
        <v>59</v>
      </c>
      <c r="T45" s="49">
        <v>0.0</v>
      </c>
      <c r="U45" s="50" t="str">
        <f>IF(AND(X45=W45,W45=X45),"$0","$25.600")</f>
        <v>$25.600</v>
      </c>
      <c r="V45" s="66">
        <v>25600.0</v>
      </c>
      <c r="W45" s="52" t="b">
        <v>1</v>
      </c>
      <c r="X45" s="53" t="b">
        <v>0</v>
      </c>
      <c r="Y45" s="49">
        <v>0.0</v>
      </c>
      <c r="Z45" s="1"/>
      <c r="AA45" s="1"/>
    </row>
    <row r="46">
      <c r="A46" s="48" t="s">
        <v>59</v>
      </c>
      <c r="B46" s="50">
        <v>0.0</v>
      </c>
      <c r="C46" s="50" t="str">
        <f>IF(AND(F46=E46,E46=F46),"$0","$10.000")</f>
        <v>$10.000</v>
      </c>
      <c r="D46" s="65">
        <v>10000.0</v>
      </c>
      <c r="E46" s="52" t="b">
        <v>1</v>
      </c>
      <c r="F46" s="53" t="b">
        <v>0</v>
      </c>
      <c r="G46" s="49">
        <v>0.0</v>
      </c>
      <c r="H46" s="1"/>
      <c r="I46" s="1"/>
      <c r="J46" s="48" t="s">
        <v>59</v>
      </c>
      <c r="K46" s="50">
        <v>0.0</v>
      </c>
      <c r="L46" s="50" t="str">
        <f>IF(AND(O46=N46,N46=O46),"$0","$10.000")</f>
        <v>$0</v>
      </c>
      <c r="M46" s="65">
        <v>10000.0</v>
      </c>
      <c r="N46" s="52" t="b">
        <v>0</v>
      </c>
      <c r="O46" s="53" t="b">
        <v>0</v>
      </c>
      <c r="P46" s="49">
        <v>0.0</v>
      </c>
      <c r="Q46" s="1"/>
      <c r="R46" s="25"/>
      <c r="S46" s="48" t="s">
        <v>59</v>
      </c>
      <c r="T46" s="49">
        <v>0.0</v>
      </c>
      <c r="U46" s="50" t="str">
        <f>IF(AND(X46=W46,W46=X46),"$0","$10.000")</f>
        <v>$10.000</v>
      </c>
      <c r="V46" s="65">
        <v>10000.0</v>
      </c>
      <c r="W46" s="52" t="b">
        <v>1</v>
      </c>
      <c r="X46" s="53" t="b">
        <v>0</v>
      </c>
      <c r="Y46" s="49">
        <v>0.0</v>
      </c>
      <c r="Z46" s="1"/>
      <c r="AA46" s="1"/>
    </row>
    <row r="47">
      <c r="A47" s="58" t="s">
        <v>60</v>
      </c>
      <c r="B47" s="50">
        <v>0.0</v>
      </c>
      <c r="C47" s="50" t="str">
        <f>IF(AND(F47=E47,E47=F47),"$0","$7.000")</f>
        <v>$7.000</v>
      </c>
      <c r="D47" s="51">
        <v>7000.0</v>
      </c>
      <c r="E47" s="52" t="b">
        <v>1</v>
      </c>
      <c r="F47" s="53" t="b">
        <v>0</v>
      </c>
      <c r="G47" s="49">
        <v>0.0</v>
      </c>
      <c r="H47" s="1"/>
      <c r="I47" s="1"/>
      <c r="J47" s="58" t="s">
        <v>60</v>
      </c>
      <c r="K47" s="49">
        <v>42600.0</v>
      </c>
      <c r="L47" s="50" t="str">
        <f>IF(AND(O47=N47,N47=O47),"$0","$7.000")</f>
        <v>$0</v>
      </c>
      <c r="M47" s="51">
        <v>7000.0</v>
      </c>
      <c r="N47" s="52" t="b">
        <v>0</v>
      </c>
      <c r="O47" s="53" t="b">
        <v>0</v>
      </c>
      <c r="P47" s="49">
        <v>0.0</v>
      </c>
      <c r="Q47" s="1"/>
      <c r="R47" s="25"/>
      <c r="S47" s="58" t="s">
        <v>60</v>
      </c>
      <c r="T47" s="49">
        <v>0.0</v>
      </c>
      <c r="U47" s="50" t="str">
        <f>IF(AND(X47=W47,W47=X47),"$0","$7.000")</f>
        <v>$7.000</v>
      </c>
      <c r="V47" s="51">
        <v>7000.0</v>
      </c>
      <c r="W47" s="52" t="b">
        <v>1</v>
      </c>
      <c r="X47" s="53" t="b">
        <v>0</v>
      </c>
      <c r="Y47" s="49">
        <v>0.0</v>
      </c>
      <c r="Z47" s="1"/>
      <c r="AA47" s="1"/>
    </row>
    <row r="48">
      <c r="A48" s="48" t="s">
        <v>59</v>
      </c>
      <c r="B48" s="50">
        <v>0.0</v>
      </c>
      <c r="C48" s="50" t="str">
        <f>IF(AND(F48=E48,E48=F48),"$0","$20.000")</f>
        <v>$20.000</v>
      </c>
      <c r="D48" s="64">
        <v>20000.0</v>
      </c>
      <c r="E48" s="52" t="b">
        <v>1</v>
      </c>
      <c r="F48" s="53" t="b">
        <v>0</v>
      </c>
      <c r="G48" s="49">
        <v>0.0</v>
      </c>
      <c r="H48" s="1"/>
      <c r="I48" s="1"/>
      <c r="J48" s="48" t="s">
        <v>59</v>
      </c>
      <c r="K48" s="50">
        <v>0.0</v>
      </c>
      <c r="L48" s="50" t="str">
        <f>IF(AND(O48=N48,N48=O48),"$0","$20.000")</f>
        <v>$0</v>
      </c>
      <c r="M48" s="64">
        <v>20000.0</v>
      </c>
      <c r="N48" s="52" t="b">
        <v>0</v>
      </c>
      <c r="O48" s="53" t="b">
        <v>0</v>
      </c>
      <c r="P48" s="49">
        <v>0.0</v>
      </c>
      <c r="Q48" s="1"/>
      <c r="R48" s="25"/>
      <c r="S48" s="48" t="s">
        <v>59</v>
      </c>
      <c r="T48" s="49">
        <v>0.0</v>
      </c>
      <c r="U48" s="50" t="str">
        <f>IF(AND(X48=W48,W48=X48),"$0","$20.000")</f>
        <v>$20.000</v>
      </c>
      <c r="V48" s="64">
        <v>20000.0</v>
      </c>
      <c r="W48" s="52" t="b">
        <v>1</v>
      </c>
      <c r="X48" s="53" t="b">
        <v>0</v>
      </c>
      <c r="Y48" s="49">
        <v>0.0</v>
      </c>
      <c r="Z48" s="1"/>
      <c r="AA48" s="1"/>
    </row>
    <row r="49">
      <c r="A49" s="48" t="s">
        <v>61</v>
      </c>
      <c r="B49" s="50">
        <v>0.0</v>
      </c>
      <c r="C49" s="65" t="str">
        <f>IF(AND(F49=E49,E49=F49),"$0","$22.000")</f>
        <v>$22.000</v>
      </c>
      <c r="D49" s="65">
        <v>22000.0</v>
      </c>
      <c r="E49" s="52" t="b">
        <v>1</v>
      </c>
      <c r="F49" s="53" t="b">
        <v>0</v>
      </c>
      <c r="G49" s="49">
        <v>0.0</v>
      </c>
      <c r="H49" s="1"/>
      <c r="I49" s="1"/>
      <c r="J49" s="48" t="s">
        <v>61</v>
      </c>
      <c r="K49" s="50">
        <v>0.0</v>
      </c>
      <c r="L49" s="65" t="str">
        <f>IF(AND(O49=N49,N49=O49),"$0","$22.000")</f>
        <v>$0</v>
      </c>
      <c r="M49" s="65">
        <v>22000.0</v>
      </c>
      <c r="N49" s="52" t="b">
        <v>0</v>
      </c>
      <c r="O49" s="53" t="b">
        <v>0</v>
      </c>
      <c r="P49" s="49">
        <v>0.0</v>
      </c>
      <c r="Q49" s="1"/>
      <c r="R49" s="25"/>
      <c r="S49" s="48" t="s">
        <v>61</v>
      </c>
      <c r="T49" s="49">
        <v>0.0</v>
      </c>
      <c r="U49" s="65" t="str">
        <f>IF(AND(X49=W49,W49=X49),"$0","$22.000")</f>
        <v>$22.000</v>
      </c>
      <c r="V49" s="65">
        <v>22000.0</v>
      </c>
      <c r="W49" s="52" t="b">
        <v>1</v>
      </c>
      <c r="X49" s="53" t="b">
        <v>0</v>
      </c>
      <c r="Y49" s="49">
        <v>0.0</v>
      </c>
      <c r="Z49" s="1"/>
      <c r="AA49" s="1"/>
    </row>
    <row r="50">
      <c r="A50" s="48" t="s">
        <v>61</v>
      </c>
      <c r="B50" s="50">
        <v>0.0</v>
      </c>
      <c r="C50" s="65" t="str">
        <f>IF(AND(F50=E50,E50=F50),"$0","$6.300")</f>
        <v>$6.300</v>
      </c>
      <c r="D50" s="66">
        <v>6300.0</v>
      </c>
      <c r="E50" s="52" t="b">
        <v>1</v>
      </c>
      <c r="F50" s="53" t="b">
        <v>0</v>
      </c>
      <c r="G50" s="49">
        <v>0.0</v>
      </c>
      <c r="H50" s="1"/>
      <c r="I50" s="1"/>
      <c r="J50" s="48" t="s">
        <v>61</v>
      </c>
      <c r="K50" s="50">
        <v>0.0</v>
      </c>
      <c r="L50" s="65" t="str">
        <f>IF(AND(O50=N50,N50=O50),"$0","$6.300")</f>
        <v>$0</v>
      </c>
      <c r="M50" s="66">
        <v>6300.0</v>
      </c>
      <c r="N50" s="52" t="b">
        <v>0</v>
      </c>
      <c r="O50" s="53" t="b">
        <v>0</v>
      </c>
      <c r="P50" s="49">
        <v>0.0</v>
      </c>
      <c r="Q50" s="1"/>
      <c r="R50" s="25"/>
      <c r="S50" s="48" t="s">
        <v>61</v>
      </c>
      <c r="T50" s="49">
        <v>0.0</v>
      </c>
      <c r="U50" s="65" t="str">
        <f>IF(AND(X50=W50,W50=X50),"$0","$6.300")</f>
        <v>$6.300</v>
      </c>
      <c r="V50" s="66">
        <v>6300.0</v>
      </c>
      <c r="W50" s="52" t="b">
        <v>1</v>
      </c>
      <c r="X50" s="53" t="b">
        <v>0</v>
      </c>
      <c r="Y50" s="49">
        <v>20000.0</v>
      </c>
      <c r="Z50" s="1"/>
      <c r="AA50" s="1"/>
    </row>
    <row r="51">
      <c r="A51" s="48" t="s">
        <v>61</v>
      </c>
      <c r="B51" s="50">
        <v>0.0</v>
      </c>
      <c r="C51" s="65" t="str">
        <f>IF(AND(F51=E51,E51=F51),"$0","$15.000")</f>
        <v>$15.000</v>
      </c>
      <c r="D51" s="66">
        <v>15000.0</v>
      </c>
      <c r="E51" s="52" t="b">
        <v>1</v>
      </c>
      <c r="F51" s="53" t="b">
        <v>0</v>
      </c>
      <c r="G51" s="49">
        <v>0.0</v>
      </c>
      <c r="H51" s="1"/>
      <c r="I51" s="1"/>
      <c r="J51" s="48" t="s">
        <v>61</v>
      </c>
      <c r="K51" s="50">
        <v>0.0</v>
      </c>
      <c r="L51" s="65" t="str">
        <f>IF(AND(O51=N51,N51=O51),"$0","$15.000")</f>
        <v>$0</v>
      </c>
      <c r="M51" s="66">
        <v>15000.0</v>
      </c>
      <c r="N51" s="52" t="b">
        <v>0</v>
      </c>
      <c r="O51" s="53" t="b">
        <v>0</v>
      </c>
      <c r="P51" s="49">
        <v>0.0</v>
      </c>
      <c r="Q51" s="1"/>
      <c r="R51" s="25"/>
      <c r="S51" s="48" t="s">
        <v>61</v>
      </c>
      <c r="T51" s="49">
        <v>0.0</v>
      </c>
      <c r="U51" s="65" t="str">
        <f>IF(AND(X51=W51,W51=X51),"$0","$15.000")</f>
        <v>$15.000</v>
      </c>
      <c r="V51" s="66">
        <v>15000.0</v>
      </c>
      <c r="W51" s="52" t="b">
        <v>1</v>
      </c>
      <c r="X51" s="53" t="b">
        <v>0</v>
      </c>
      <c r="Y51" s="49">
        <v>0.0</v>
      </c>
      <c r="Z51" s="1"/>
      <c r="AA51" s="1"/>
    </row>
    <row r="52">
      <c r="A52" s="48" t="s">
        <v>61</v>
      </c>
      <c r="B52" s="50">
        <v>0.0</v>
      </c>
      <c r="C52" s="64" t="str">
        <f>IF(AND(F52=E52,E52=F52),"$0","$17.000")</f>
        <v>$17.000</v>
      </c>
      <c r="D52" s="64">
        <v>17000.0</v>
      </c>
      <c r="E52" s="52" t="b">
        <v>1</v>
      </c>
      <c r="F52" s="53" t="b">
        <v>0</v>
      </c>
      <c r="G52" s="49">
        <v>0.0</v>
      </c>
      <c r="H52" s="1"/>
      <c r="I52" s="1"/>
      <c r="J52" s="48" t="s">
        <v>61</v>
      </c>
      <c r="K52" s="49">
        <v>30000.0</v>
      </c>
      <c r="L52" s="64" t="str">
        <f>IF(AND(O52=N52,N52=O52),"$0","$17.000")</f>
        <v>$0</v>
      </c>
      <c r="M52" s="64">
        <v>17000.0</v>
      </c>
      <c r="N52" s="52" t="b">
        <v>0</v>
      </c>
      <c r="O52" s="53" t="b">
        <v>0</v>
      </c>
      <c r="P52" s="49">
        <v>0.0</v>
      </c>
      <c r="Q52" s="1"/>
      <c r="R52" s="25"/>
      <c r="S52" s="48" t="s">
        <v>61</v>
      </c>
      <c r="T52" s="49">
        <v>0.0</v>
      </c>
      <c r="U52" s="64" t="str">
        <f>IF(AND(X52=W52,W52=X52),"$0","$17.000")</f>
        <v>$17.000</v>
      </c>
      <c r="V52" s="64">
        <v>17000.0</v>
      </c>
      <c r="W52" s="52" t="b">
        <v>1</v>
      </c>
      <c r="X52" s="53" t="b">
        <v>0</v>
      </c>
      <c r="Y52" s="49">
        <v>0.0</v>
      </c>
      <c r="Z52" s="1"/>
      <c r="AA52" s="1"/>
    </row>
    <row r="53">
      <c r="A53" s="58" t="s">
        <v>62</v>
      </c>
      <c r="B53" s="50">
        <v>0.0</v>
      </c>
      <c r="C53" s="65" t="str">
        <f>IF(AND(F53=E53,E53=F53),"$0","$29,870")</f>
        <v>$0</v>
      </c>
      <c r="D53" s="66">
        <v>29870.0</v>
      </c>
      <c r="E53" s="52" t="b">
        <v>0</v>
      </c>
      <c r="F53" s="53" t="b">
        <v>0</v>
      </c>
      <c r="G53" s="49">
        <v>0.0</v>
      </c>
      <c r="H53" s="1"/>
      <c r="I53" s="25"/>
      <c r="J53" s="58" t="s">
        <v>62</v>
      </c>
      <c r="K53" s="50">
        <v>0.0</v>
      </c>
      <c r="L53" s="65" t="str">
        <f>IF(AND(O53=N53,N53=O53),"$0","$29,870")</f>
        <v>$0</v>
      </c>
      <c r="M53" s="66">
        <v>29870.0</v>
      </c>
      <c r="N53" s="52" t="b">
        <v>0</v>
      </c>
      <c r="O53" s="53" t="b">
        <v>0</v>
      </c>
      <c r="P53" s="49">
        <v>0.0</v>
      </c>
      <c r="Q53" s="25"/>
      <c r="R53" s="25"/>
      <c r="S53" s="58" t="s">
        <v>62</v>
      </c>
      <c r="T53" s="49">
        <v>0.0</v>
      </c>
      <c r="U53" s="65" t="str">
        <f>IF(AND(X53=W53,W53=X53),"$0","$29,870")</f>
        <v>$0</v>
      </c>
      <c r="V53" s="66">
        <v>29870.0</v>
      </c>
      <c r="W53" s="52" t="b">
        <v>0</v>
      </c>
      <c r="X53" s="53" t="b">
        <v>0</v>
      </c>
      <c r="Y53" s="49">
        <v>0.0</v>
      </c>
      <c r="Z53" s="1"/>
      <c r="AA53" s="1"/>
    </row>
    <row r="54">
      <c r="A54" s="58" t="s">
        <v>63</v>
      </c>
      <c r="B54" s="50">
        <v>0.0</v>
      </c>
      <c r="C54" s="65" t="str">
        <f>IF(AND(F54=E54,E54=F54),"$0","$42.700")</f>
        <v>$42.700</v>
      </c>
      <c r="D54" s="66">
        <v>42700.0</v>
      </c>
      <c r="E54" s="52" t="b">
        <v>1</v>
      </c>
      <c r="F54" s="53" t="b">
        <v>0</v>
      </c>
      <c r="G54" s="49">
        <v>0.0</v>
      </c>
      <c r="H54" s="1"/>
      <c r="I54" s="25"/>
      <c r="J54" s="58" t="s">
        <v>63</v>
      </c>
      <c r="K54" s="50">
        <v>0.0</v>
      </c>
      <c r="L54" s="65" t="str">
        <f>IF(AND(O54=N54,N54=O54),"$0","$42.700")</f>
        <v>$42.700</v>
      </c>
      <c r="M54" s="66">
        <v>42700.0</v>
      </c>
      <c r="N54" s="52" t="b">
        <v>1</v>
      </c>
      <c r="O54" s="53" t="b">
        <v>0</v>
      </c>
      <c r="P54" s="49">
        <v>0.0</v>
      </c>
      <c r="Q54" s="25"/>
      <c r="R54" s="25"/>
      <c r="S54" s="58" t="s">
        <v>63</v>
      </c>
      <c r="T54" s="49">
        <v>0.0</v>
      </c>
      <c r="U54" s="65" t="str">
        <f>IF(AND(X54=W54,W54=X54),"$0","$42.700")</f>
        <v>$42.700</v>
      </c>
      <c r="V54" s="66">
        <v>42700.0</v>
      </c>
      <c r="W54" s="52" t="b">
        <v>1</v>
      </c>
      <c r="X54" s="53" t="b">
        <v>0</v>
      </c>
      <c r="Y54" s="49">
        <v>0.0</v>
      </c>
      <c r="Z54" s="1"/>
      <c r="AA54" s="1"/>
    </row>
    <row r="55">
      <c r="A55" s="48" t="s">
        <v>64</v>
      </c>
      <c r="B55" s="50">
        <v>0.0</v>
      </c>
      <c r="C55" s="65" t="str">
        <f t="shared" ref="C55:C56" si="11">IF(AND(F55=E55,E55=F55),"$0","$9.500")</f>
        <v>$9.500</v>
      </c>
      <c r="D55" s="66">
        <v>9500.0</v>
      </c>
      <c r="E55" s="52" t="b">
        <v>0</v>
      </c>
      <c r="F55" s="53" t="b">
        <v>1</v>
      </c>
      <c r="G55" s="49">
        <v>0.0</v>
      </c>
      <c r="H55" s="1"/>
      <c r="I55" s="38"/>
      <c r="J55" s="48" t="s">
        <v>64</v>
      </c>
      <c r="K55" s="49">
        <v>10000.0</v>
      </c>
      <c r="L55" s="65" t="str">
        <f t="shared" ref="L55:L56" si="12">IF(AND(O55=N55,N55=O55),"$0","$9.500")</f>
        <v>$0</v>
      </c>
      <c r="M55" s="66">
        <v>9500.0</v>
      </c>
      <c r="N55" s="52" t="b">
        <v>0</v>
      </c>
      <c r="O55" s="53" t="b">
        <v>0</v>
      </c>
      <c r="P55" s="49">
        <v>0.0</v>
      </c>
      <c r="Q55" s="38"/>
      <c r="R55" s="25"/>
      <c r="S55" s="48" t="s">
        <v>64</v>
      </c>
      <c r="T55" s="49">
        <v>10000.0</v>
      </c>
      <c r="U55" s="65" t="str">
        <f t="shared" ref="U55:U56" si="13">IF(AND(X55=W55,W55=X55),"$0","$9.500")</f>
        <v>$0</v>
      </c>
      <c r="V55" s="66">
        <v>9500.0</v>
      </c>
      <c r="W55" s="52" t="b">
        <v>0</v>
      </c>
      <c r="X55" s="53" t="b">
        <v>0</v>
      </c>
      <c r="Y55" s="49">
        <v>0.0</v>
      </c>
      <c r="Z55" s="1"/>
      <c r="AA55" s="1"/>
    </row>
    <row r="56">
      <c r="A56" s="48" t="s">
        <v>64</v>
      </c>
      <c r="B56" s="50">
        <v>0.0</v>
      </c>
      <c r="C56" s="65" t="str">
        <f t="shared" si="11"/>
        <v>$9.500</v>
      </c>
      <c r="D56" s="66">
        <v>9700.0</v>
      </c>
      <c r="E56" s="52" t="b">
        <v>1</v>
      </c>
      <c r="F56" s="53" t="b">
        <v>0</v>
      </c>
      <c r="G56" s="49">
        <v>0.0</v>
      </c>
      <c r="H56" s="1"/>
      <c r="I56" s="25"/>
      <c r="J56" s="48" t="s">
        <v>64</v>
      </c>
      <c r="K56" s="50">
        <v>0.0</v>
      </c>
      <c r="L56" s="65" t="str">
        <f t="shared" si="12"/>
        <v>$9.500</v>
      </c>
      <c r="M56" s="66">
        <v>9700.0</v>
      </c>
      <c r="N56" s="52" t="b">
        <v>1</v>
      </c>
      <c r="O56" s="53" t="b">
        <v>0</v>
      </c>
      <c r="P56" s="49">
        <v>0.0</v>
      </c>
      <c r="Q56" s="38"/>
      <c r="R56" s="25"/>
      <c r="S56" s="48" t="s">
        <v>64</v>
      </c>
      <c r="T56" s="49">
        <v>0.0</v>
      </c>
      <c r="U56" s="65" t="str">
        <f t="shared" si="13"/>
        <v>$9.500</v>
      </c>
      <c r="V56" s="66">
        <v>9700.0</v>
      </c>
      <c r="W56" s="52" t="b">
        <v>1</v>
      </c>
      <c r="X56" s="53" t="b">
        <v>0</v>
      </c>
      <c r="Y56" s="49">
        <v>0.0</v>
      </c>
      <c r="Z56" s="1"/>
      <c r="AA56" s="1"/>
    </row>
    <row r="57">
      <c r="A57" s="48" t="s">
        <v>65</v>
      </c>
      <c r="B57" s="50">
        <v>0.0</v>
      </c>
      <c r="C57" s="64" t="str">
        <f t="shared" ref="C57:C58" si="14">IF(AND(F57=E57,E57=F57),"$0","$10.000")</f>
        <v>$10.000</v>
      </c>
      <c r="D57" s="51">
        <v>10000.0</v>
      </c>
      <c r="E57" s="52" t="b">
        <v>1</v>
      </c>
      <c r="F57" s="53" t="b">
        <v>0</v>
      </c>
      <c r="G57" s="49">
        <v>0.0</v>
      </c>
      <c r="H57" s="1"/>
      <c r="I57" s="25"/>
      <c r="J57" s="48" t="s">
        <v>65</v>
      </c>
      <c r="K57" s="50">
        <v>0.0</v>
      </c>
      <c r="L57" s="64" t="str">
        <f t="shared" ref="L57:L58" si="15">IF(AND(O57=N57,N57=O57),"$0","$10.000")</f>
        <v>$0</v>
      </c>
      <c r="M57" s="51">
        <v>10000.0</v>
      </c>
      <c r="N57" s="52" t="b">
        <v>0</v>
      </c>
      <c r="O57" s="53" t="b">
        <v>0</v>
      </c>
      <c r="P57" s="49">
        <v>0.0</v>
      </c>
      <c r="Q57" s="38"/>
      <c r="R57" s="25"/>
      <c r="S57" s="48" t="s">
        <v>65</v>
      </c>
      <c r="T57" s="49">
        <v>0.0</v>
      </c>
      <c r="U57" s="64" t="str">
        <f t="shared" ref="U57:U58" si="16">IF(AND(X57=W57,W57=X57),"$0","$10.000")</f>
        <v>$10.000</v>
      </c>
      <c r="V57" s="51">
        <v>10000.0</v>
      </c>
      <c r="W57" s="52" t="b">
        <v>0</v>
      </c>
      <c r="X57" s="53" t="b">
        <v>1</v>
      </c>
      <c r="Y57" s="49">
        <v>10000.0</v>
      </c>
      <c r="Z57" s="1"/>
      <c r="AA57" s="1"/>
    </row>
    <row r="58">
      <c r="A58" s="48" t="s">
        <v>66</v>
      </c>
      <c r="B58" s="50">
        <v>0.0</v>
      </c>
      <c r="C58" s="64" t="str">
        <f t="shared" si="14"/>
        <v>$10.000</v>
      </c>
      <c r="D58" s="51">
        <v>10000.0</v>
      </c>
      <c r="E58" s="52" t="b">
        <v>1</v>
      </c>
      <c r="F58" s="53" t="b">
        <v>0</v>
      </c>
      <c r="G58" s="49">
        <v>0.0</v>
      </c>
      <c r="H58" s="1"/>
      <c r="I58" s="25"/>
      <c r="J58" s="48" t="s">
        <v>66</v>
      </c>
      <c r="K58" s="50">
        <v>0.0</v>
      </c>
      <c r="L58" s="64" t="str">
        <f t="shared" si="15"/>
        <v>$0</v>
      </c>
      <c r="M58" s="51">
        <v>10000.0</v>
      </c>
      <c r="N58" s="52" t="b">
        <v>0</v>
      </c>
      <c r="O58" s="53" t="b">
        <v>0</v>
      </c>
      <c r="P58" s="49">
        <v>0.0</v>
      </c>
      <c r="Q58" s="38"/>
      <c r="R58" s="25"/>
      <c r="S58" s="48" t="s">
        <v>66</v>
      </c>
      <c r="T58" s="49">
        <v>0.0</v>
      </c>
      <c r="U58" s="64" t="str">
        <f t="shared" si="16"/>
        <v>$10.000</v>
      </c>
      <c r="V58" s="51">
        <v>10000.0</v>
      </c>
      <c r="W58" s="52" t="b">
        <v>1</v>
      </c>
      <c r="X58" s="53" t="b">
        <v>0</v>
      </c>
      <c r="Y58" s="49">
        <v>0.0</v>
      </c>
      <c r="Z58" s="1"/>
      <c r="AA58" s="1"/>
    </row>
    <row r="59">
      <c r="A59" s="48" t="s">
        <v>67</v>
      </c>
      <c r="B59" s="50">
        <v>0.0</v>
      </c>
      <c r="C59" s="65" t="str">
        <f>IF(AND(F59=E59,E59=F59),"$0","$10.500")</f>
        <v>$0</v>
      </c>
      <c r="D59" s="66">
        <v>10500.0</v>
      </c>
      <c r="E59" s="52" t="b">
        <v>0</v>
      </c>
      <c r="F59" s="53" t="b">
        <v>0</v>
      </c>
      <c r="G59" s="49">
        <v>0.0</v>
      </c>
      <c r="H59" s="1"/>
      <c r="I59" s="38"/>
      <c r="J59" s="48" t="s">
        <v>67</v>
      </c>
      <c r="K59" s="50">
        <v>0.0</v>
      </c>
      <c r="L59" s="65" t="str">
        <f>IF(AND(O59=N59,N59=O59),"$0","$10.500")</f>
        <v>$0</v>
      </c>
      <c r="M59" s="66">
        <v>10500.0</v>
      </c>
      <c r="N59" s="52" t="b">
        <v>0</v>
      </c>
      <c r="O59" s="53" t="b">
        <v>0</v>
      </c>
      <c r="P59" s="49">
        <v>0.0</v>
      </c>
      <c r="Q59" s="38"/>
      <c r="R59" s="25"/>
      <c r="S59" s="48" t="s">
        <v>67</v>
      </c>
      <c r="T59" s="49">
        <v>0.0</v>
      </c>
      <c r="U59" s="65" t="str">
        <f>IF(AND(X59=W59,W59=X59),"$0","$10.500")</f>
        <v>$0</v>
      </c>
      <c r="V59" s="66">
        <v>10500.0</v>
      </c>
      <c r="W59" s="52" t="b">
        <v>0</v>
      </c>
      <c r="X59" s="53" t="b">
        <v>0</v>
      </c>
      <c r="Y59" s="49">
        <v>0.0</v>
      </c>
      <c r="Z59" s="1"/>
      <c r="AA59" s="1"/>
    </row>
    <row r="60">
      <c r="A60" s="48" t="s">
        <v>67</v>
      </c>
      <c r="B60" s="50">
        <v>0.0</v>
      </c>
      <c r="C60" s="65" t="str">
        <f>IF(AND(F60=E60,E60=F60),"$0","$13.400")</f>
        <v>$0</v>
      </c>
      <c r="D60" s="65">
        <v>13400.0</v>
      </c>
      <c r="E60" s="52" t="b">
        <v>0</v>
      </c>
      <c r="F60" s="53" t="b">
        <v>0</v>
      </c>
      <c r="G60" s="49">
        <v>0.0</v>
      </c>
      <c r="H60" s="1"/>
      <c r="I60" s="38"/>
      <c r="J60" s="48" t="s">
        <v>67</v>
      </c>
      <c r="K60" s="50">
        <v>0.0</v>
      </c>
      <c r="L60" s="65" t="str">
        <f>IF(AND(O60=N60,N60=O60),"$0","$13.400")</f>
        <v>$0</v>
      </c>
      <c r="M60" s="65">
        <v>13400.0</v>
      </c>
      <c r="N60" s="52" t="b">
        <v>0</v>
      </c>
      <c r="O60" s="53" t="b">
        <v>0</v>
      </c>
      <c r="P60" s="49">
        <v>0.0</v>
      </c>
      <c r="Q60" s="38"/>
      <c r="R60" s="25"/>
      <c r="S60" s="48" t="s">
        <v>67</v>
      </c>
      <c r="T60" s="49">
        <v>0.0</v>
      </c>
      <c r="U60" s="65" t="str">
        <f>IF(AND(X60=W60,W60=X60),"$0","$13.400")</f>
        <v>$0</v>
      </c>
      <c r="V60" s="65">
        <v>13400.0</v>
      </c>
      <c r="W60" s="52" t="b">
        <v>0</v>
      </c>
      <c r="X60" s="53" t="b">
        <v>0</v>
      </c>
      <c r="Y60" s="49">
        <v>0.0</v>
      </c>
      <c r="Z60" s="1"/>
      <c r="AA60" s="1"/>
    </row>
    <row r="61">
      <c r="A61" s="48" t="s">
        <v>68</v>
      </c>
      <c r="B61" s="50">
        <v>0.0</v>
      </c>
      <c r="C61" s="50" t="str">
        <f>IF(AND(F61=E61,E61=F61),"$0","$16.700")</f>
        <v>$16.700</v>
      </c>
      <c r="D61" s="51">
        <v>16700.0</v>
      </c>
      <c r="E61" s="52" t="b">
        <v>0</v>
      </c>
      <c r="F61" s="53" t="b">
        <v>1</v>
      </c>
      <c r="G61" s="49">
        <v>0.0</v>
      </c>
      <c r="H61" s="1"/>
      <c r="I61" s="38"/>
      <c r="J61" s="48" t="s">
        <v>68</v>
      </c>
      <c r="K61" s="50">
        <v>0.0</v>
      </c>
      <c r="L61" s="50" t="str">
        <f>IF(AND(O61=N61,N61=O61),"$0","$16.700")</f>
        <v>$16.700</v>
      </c>
      <c r="M61" s="51">
        <v>16700.0</v>
      </c>
      <c r="N61" s="52" t="b">
        <v>0</v>
      </c>
      <c r="O61" s="53" t="b">
        <v>1</v>
      </c>
      <c r="P61" s="49">
        <v>0.0</v>
      </c>
      <c r="Q61" s="38"/>
      <c r="R61" s="25"/>
      <c r="S61" s="48" t="s">
        <v>68</v>
      </c>
      <c r="T61" s="49">
        <v>0.0</v>
      </c>
      <c r="U61" s="50" t="str">
        <f>IF(AND(X61=W61,W61=X61),"$0","$16.700")</f>
        <v>$16.700</v>
      </c>
      <c r="V61" s="51">
        <v>16700.0</v>
      </c>
      <c r="W61" s="52" t="b">
        <v>0</v>
      </c>
      <c r="X61" s="53" t="b">
        <v>1</v>
      </c>
      <c r="Y61" s="49">
        <v>0.0</v>
      </c>
      <c r="Z61" s="1"/>
      <c r="AA61" s="1"/>
    </row>
    <row r="62">
      <c r="A62" s="68" t="s">
        <v>69</v>
      </c>
      <c r="B62" s="50">
        <v>0.0</v>
      </c>
      <c r="C62" s="64" t="str">
        <f>IF(AND(F62=E62,E62=F62),"$0","$8.000")</f>
        <v>$8.000</v>
      </c>
      <c r="D62" s="51">
        <v>8000.0</v>
      </c>
      <c r="E62" s="52" t="b">
        <v>0</v>
      </c>
      <c r="F62" s="53" t="b">
        <v>1</v>
      </c>
      <c r="G62" s="49">
        <v>0.0</v>
      </c>
      <c r="H62" s="1"/>
      <c r="I62" s="38"/>
      <c r="J62" s="68" t="s">
        <v>69</v>
      </c>
      <c r="K62" s="50">
        <v>0.0</v>
      </c>
      <c r="L62" s="64" t="str">
        <f>IF(AND(O62=N62,N62=O62),"$0","$8.000")</f>
        <v>$8.000</v>
      </c>
      <c r="M62" s="51">
        <v>8000.0</v>
      </c>
      <c r="N62" s="52" t="b">
        <v>1</v>
      </c>
      <c r="O62" s="53" t="b">
        <v>0</v>
      </c>
      <c r="P62" s="49">
        <v>0.0</v>
      </c>
      <c r="Q62" s="38"/>
      <c r="R62" s="25"/>
      <c r="S62" s="68" t="s">
        <v>69</v>
      </c>
      <c r="T62" s="49">
        <v>0.0</v>
      </c>
      <c r="U62" s="64" t="str">
        <f>IF(AND(X62=W62,W62=X62),"$0","$8.000")</f>
        <v>$8.000</v>
      </c>
      <c r="V62" s="51">
        <v>8000.0</v>
      </c>
      <c r="W62" s="52" t="b">
        <v>1</v>
      </c>
      <c r="X62" s="53" t="b">
        <v>0</v>
      </c>
      <c r="Y62" s="49">
        <v>0.0</v>
      </c>
      <c r="Z62" s="1"/>
      <c r="AA62" s="1"/>
    </row>
    <row r="63">
      <c r="A63" s="69" t="s">
        <v>70</v>
      </c>
      <c r="B63" s="50">
        <v>0.0</v>
      </c>
      <c r="C63" s="64" t="str">
        <f>IF(AND(F63=E63,E63=F63),"$0","$15.900")</f>
        <v>$15.900</v>
      </c>
      <c r="D63" s="51">
        <v>15900.0</v>
      </c>
      <c r="E63" s="52" t="b">
        <v>1</v>
      </c>
      <c r="F63" s="53" t="b">
        <v>0</v>
      </c>
      <c r="G63" s="49">
        <v>0.0</v>
      </c>
      <c r="H63" s="1"/>
      <c r="I63" s="25"/>
      <c r="J63" s="69" t="s">
        <v>70</v>
      </c>
      <c r="K63" s="50">
        <v>0.0</v>
      </c>
      <c r="L63" s="64" t="str">
        <f>IF(AND(O63=N63,N63=O63),"$0","$15.900")</f>
        <v>$0</v>
      </c>
      <c r="M63" s="51">
        <v>15900.0</v>
      </c>
      <c r="N63" s="52" t="b">
        <v>0</v>
      </c>
      <c r="O63" s="53" t="b">
        <v>0</v>
      </c>
      <c r="P63" s="49">
        <v>0.0</v>
      </c>
      <c r="Q63" s="38"/>
      <c r="R63" s="25"/>
      <c r="S63" s="69" t="s">
        <v>70</v>
      </c>
      <c r="T63" s="49">
        <v>0.0</v>
      </c>
      <c r="U63" s="64" t="str">
        <f>IF(AND(X63=W63,W63=X63),"$0","$15.900")</f>
        <v>$15.900</v>
      </c>
      <c r="V63" s="51">
        <v>15900.0</v>
      </c>
      <c r="W63" s="52" t="b">
        <v>1</v>
      </c>
      <c r="X63" s="53" t="b">
        <v>0</v>
      </c>
      <c r="Y63" s="49">
        <v>0.0</v>
      </c>
      <c r="Z63" s="1"/>
      <c r="AA63" s="1"/>
    </row>
    <row r="64">
      <c r="A64" s="68" t="s">
        <v>71</v>
      </c>
      <c r="B64" s="50">
        <v>0.0</v>
      </c>
      <c r="C64" s="64" t="str">
        <f>IF(AND(F64=E64,E64=F64),"$0","$13.200")</f>
        <v>$0</v>
      </c>
      <c r="D64" s="51">
        <v>13200.0</v>
      </c>
      <c r="E64" s="52" t="b">
        <v>0</v>
      </c>
      <c r="F64" s="53" t="b">
        <v>0</v>
      </c>
      <c r="G64" s="49">
        <v>0.0</v>
      </c>
      <c r="H64" s="1"/>
      <c r="I64" s="25"/>
      <c r="J64" s="68" t="s">
        <v>71</v>
      </c>
      <c r="K64" s="50">
        <v>0.0</v>
      </c>
      <c r="L64" s="64" t="str">
        <f>IF(AND(O64=N64,N64=O64),"$0","$13.200")</f>
        <v>$0</v>
      </c>
      <c r="M64" s="51">
        <v>13200.0</v>
      </c>
      <c r="N64" s="52" t="b">
        <v>0</v>
      </c>
      <c r="O64" s="53" t="b">
        <v>0</v>
      </c>
      <c r="P64" s="49">
        <v>0.0</v>
      </c>
      <c r="Q64" s="38"/>
      <c r="R64" s="25"/>
      <c r="S64" s="68" t="s">
        <v>71</v>
      </c>
      <c r="T64" s="49">
        <v>0.0</v>
      </c>
      <c r="U64" s="64" t="str">
        <f>IF(AND(X64=W64,W64=X64),"$0","$13.200")</f>
        <v>$0</v>
      </c>
      <c r="V64" s="51">
        <v>13200.0</v>
      </c>
      <c r="W64" s="52" t="b">
        <v>0</v>
      </c>
      <c r="X64" s="53" t="b">
        <v>0</v>
      </c>
      <c r="Y64" s="49">
        <v>0.0</v>
      </c>
      <c r="Z64" s="1"/>
      <c r="AA64" s="1"/>
    </row>
    <row r="65">
      <c r="A65" s="68" t="s">
        <v>72</v>
      </c>
      <c r="B65" s="50">
        <v>0.0</v>
      </c>
      <c r="C65" s="50" t="str">
        <f>IF(AND(F65=E65,E65=F65),"$0","$15.000")</f>
        <v>$0</v>
      </c>
      <c r="D65" s="65">
        <v>15000.0</v>
      </c>
      <c r="E65" s="52" t="b">
        <v>0</v>
      </c>
      <c r="F65" s="53" t="b">
        <v>0</v>
      </c>
      <c r="G65" s="49">
        <v>10000.0</v>
      </c>
      <c r="H65" s="1"/>
      <c r="I65" s="38"/>
      <c r="J65" s="68" t="s">
        <v>72</v>
      </c>
      <c r="K65" s="50">
        <v>0.0</v>
      </c>
      <c r="L65" s="50" t="str">
        <f>IF(AND(O65=N65,N65=O65),"$0","$15.000")</f>
        <v>$0</v>
      </c>
      <c r="M65" s="65">
        <v>15000.0</v>
      </c>
      <c r="N65" s="52" t="b">
        <v>0</v>
      </c>
      <c r="O65" s="53" t="b">
        <v>0</v>
      </c>
      <c r="P65" s="49">
        <v>12200.0</v>
      </c>
      <c r="Q65" s="38"/>
      <c r="R65" s="25"/>
      <c r="S65" s="68" t="s">
        <v>72</v>
      </c>
      <c r="T65" s="49">
        <v>10000.0</v>
      </c>
      <c r="U65" s="50" t="str">
        <f>IF(AND(X65=W65,W65=X65),"$0","$15.000")</f>
        <v>$0</v>
      </c>
      <c r="V65" s="65">
        <v>15000.0</v>
      </c>
      <c r="W65" s="52" t="b">
        <v>0</v>
      </c>
      <c r="X65" s="53" t="b">
        <v>0</v>
      </c>
      <c r="Y65" s="49">
        <v>0.0</v>
      </c>
      <c r="Z65" s="1"/>
      <c r="AA65" s="1"/>
    </row>
    <row r="66">
      <c r="A66" s="48" t="s">
        <v>73</v>
      </c>
      <c r="B66" s="50">
        <v>0.0</v>
      </c>
      <c r="C66" s="65" t="str">
        <f>IF(AND(F66=E66,E66=F66),"$0","$41.400")</f>
        <v>$41.400</v>
      </c>
      <c r="D66" s="66">
        <v>41400.0</v>
      </c>
      <c r="E66" s="52" t="b">
        <v>0</v>
      </c>
      <c r="F66" s="53" t="b">
        <v>1</v>
      </c>
      <c r="G66" s="49">
        <v>0.0</v>
      </c>
      <c r="H66" s="1"/>
      <c r="I66" s="38"/>
      <c r="J66" s="48" t="s">
        <v>73</v>
      </c>
      <c r="K66" s="50">
        <v>0.0</v>
      </c>
      <c r="L66" s="65" t="str">
        <f>IF(AND(O66=N66,N66=O66),"$0","$41.400")</f>
        <v>$0</v>
      </c>
      <c r="M66" s="66">
        <v>41400.0</v>
      </c>
      <c r="N66" s="52" t="b">
        <v>0</v>
      </c>
      <c r="O66" s="53" t="b">
        <v>0</v>
      </c>
      <c r="P66" s="49">
        <v>0.0</v>
      </c>
      <c r="Q66" s="38"/>
      <c r="R66" s="25"/>
      <c r="S66" s="48" t="s">
        <v>73</v>
      </c>
      <c r="T66" s="49">
        <v>0.0</v>
      </c>
      <c r="U66" s="65" t="str">
        <f>IF(AND(X66=W66,W66=X66),"$0","$27.300")</f>
        <v>$27.300</v>
      </c>
      <c r="V66" s="66">
        <v>27300.0</v>
      </c>
      <c r="W66" s="52" t="b">
        <v>0</v>
      </c>
      <c r="X66" s="53" t="b">
        <v>1</v>
      </c>
      <c r="Y66" s="49">
        <v>0.0</v>
      </c>
      <c r="Z66" s="1"/>
      <c r="AA66" s="1"/>
    </row>
    <row r="67">
      <c r="A67" s="48" t="s">
        <v>74</v>
      </c>
      <c r="B67" s="50">
        <v>0.0</v>
      </c>
      <c r="C67" s="64" t="str">
        <f t="shared" ref="C67:C68" si="17">IF(AND(F67=E67,E67=F67),"$0","$10.000")</f>
        <v>$0</v>
      </c>
      <c r="D67" s="64">
        <v>10000.0</v>
      </c>
      <c r="E67" s="52" t="b">
        <v>0</v>
      </c>
      <c r="F67" s="53" t="b">
        <v>0</v>
      </c>
      <c r="G67" s="49">
        <v>0.0</v>
      </c>
      <c r="H67" s="1"/>
      <c r="I67" s="38"/>
      <c r="J67" s="48" t="s">
        <v>74</v>
      </c>
      <c r="K67" s="50">
        <v>0.0</v>
      </c>
      <c r="L67" s="64" t="str">
        <f t="shared" ref="L67:L68" si="18">IF(AND(O67=N67,N67=O67),"$0","$10.000")</f>
        <v>$0</v>
      </c>
      <c r="M67" s="64">
        <v>10000.0</v>
      </c>
      <c r="N67" s="52" t="b">
        <v>0</v>
      </c>
      <c r="O67" s="53" t="b">
        <v>0</v>
      </c>
      <c r="P67" s="49">
        <v>0.0</v>
      </c>
      <c r="Q67" s="38"/>
      <c r="R67" s="25"/>
      <c r="S67" s="48" t="s">
        <v>74</v>
      </c>
      <c r="T67" s="49">
        <v>0.0</v>
      </c>
      <c r="U67" s="64" t="str">
        <f t="shared" ref="U67:U68" si="19">IF(AND(X67=W67,W67=X67),"$0","$10.000")</f>
        <v>$0</v>
      </c>
      <c r="V67" s="64">
        <v>10000.0</v>
      </c>
      <c r="W67" s="52" t="b">
        <v>0</v>
      </c>
      <c r="X67" s="53" t="b">
        <v>0</v>
      </c>
      <c r="Y67" s="49">
        <v>0.0</v>
      </c>
      <c r="Z67" s="1"/>
      <c r="AA67" s="1"/>
    </row>
    <row r="68">
      <c r="A68" s="48" t="s">
        <v>74</v>
      </c>
      <c r="B68" s="50">
        <v>0.0</v>
      </c>
      <c r="C68" s="65" t="str">
        <f t="shared" si="17"/>
        <v>$0</v>
      </c>
      <c r="D68" s="65">
        <v>10000.0</v>
      </c>
      <c r="E68" s="52" t="b">
        <v>0</v>
      </c>
      <c r="F68" s="53" t="b">
        <v>0</v>
      </c>
      <c r="G68" s="49">
        <v>0.0</v>
      </c>
      <c r="H68" s="1"/>
      <c r="I68" s="38"/>
      <c r="J68" s="48" t="s">
        <v>74</v>
      </c>
      <c r="K68" s="50">
        <v>0.0</v>
      </c>
      <c r="L68" s="65" t="str">
        <f t="shared" si="18"/>
        <v>$0</v>
      </c>
      <c r="M68" s="65">
        <v>10000.0</v>
      </c>
      <c r="N68" s="52" t="b">
        <v>0</v>
      </c>
      <c r="O68" s="53" t="b">
        <v>0</v>
      </c>
      <c r="P68" s="49">
        <v>0.0</v>
      </c>
      <c r="Q68" s="38"/>
      <c r="R68" s="25"/>
      <c r="S68" s="48" t="s">
        <v>74</v>
      </c>
      <c r="T68" s="49">
        <v>0.0</v>
      </c>
      <c r="U68" s="65" t="str">
        <f t="shared" si="19"/>
        <v>$10.000</v>
      </c>
      <c r="V68" s="65">
        <v>10000.0</v>
      </c>
      <c r="W68" s="52" t="b">
        <v>1</v>
      </c>
      <c r="X68" s="53" t="b">
        <v>0</v>
      </c>
      <c r="Y68" s="49">
        <v>0.0</v>
      </c>
      <c r="Z68" s="1"/>
      <c r="AA68" s="1"/>
    </row>
    <row r="69">
      <c r="A69" s="68" t="s">
        <v>74</v>
      </c>
      <c r="B69" s="50">
        <v>0.0</v>
      </c>
      <c r="C69" s="50" t="str">
        <f>IF(AND(F69=E69,E69=F69),"$0","$7.200")</f>
        <v>$7.200</v>
      </c>
      <c r="D69" s="51">
        <v>7200.0</v>
      </c>
      <c r="E69" s="52" t="b">
        <v>0</v>
      </c>
      <c r="F69" s="53" t="b">
        <v>1</v>
      </c>
      <c r="G69" s="49">
        <v>0.0</v>
      </c>
      <c r="H69" s="1"/>
      <c r="I69" s="38"/>
      <c r="J69" s="68" t="s">
        <v>74</v>
      </c>
      <c r="K69" s="50">
        <v>0.0</v>
      </c>
      <c r="L69" s="50" t="str">
        <f>IF(AND(O69=N69,N69=O69),"$0","$7.200")</f>
        <v>$0</v>
      </c>
      <c r="M69" s="51">
        <v>7200.0</v>
      </c>
      <c r="N69" s="52" t="b">
        <v>0</v>
      </c>
      <c r="O69" s="53" t="b">
        <v>0</v>
      </c>
      <c r="P69" s="49">
        <v>0.0</v>
      </c>
      <c r="Q69" s="38"/>
      <c r="R69" s="25"/>
      <c r="S69" s="68" t="s">
        <v>74</v>
      </c>
      <c r="T69" s="49">
        <v>0.0</v>
      </c>
      <c r="U69" s="50" t="str">
        <f>IF(AND(X69=W69,W69=X69),"$0","$7.200")</f>
        <v>$0</v>
      </c>
      <c r="V69" s="51">
        <v>7200.0</v>
      </c>
      <c r="W69" s="52" t="b">
        <v>0</v>
      </c>
      <c r="X69" s="53" t="b">
        <v>0</v>
      </c>
      <c r="Y69" s="49">
        <v>0.0</v>
      </c>
      <c r="Z69" s="1"/>
      <c r="AA69" s="1"/>
    </row>
    <row r="70">
      <c r="A70" s="68" t="s">
        <v>75</v>
      </c>
      <c r="B70" s="50">
        <v>0.0</v>
      </c>
      <c r="C70" s="50" t="str">
        <f>IF(AND(F70=E70,E70=F70),"$0","$9.000")</f>
        <v>$9.000</v>
      </c>
      <c r="D70" s="66">
        <v>9000.0</v>
      </c>
      <c r="E70" s="52" t="b">
        <v>1</v>
      </c>
      <c r="F70" s="53" t="b">
        <v>0</v>
      </c>
      <c r="G70" s="49">
        <v>0.0</v>
      </c>
      <c r="H70" s="1"/>
      <c r="I70" s="38"/>
      <c r="J70" s="68" t="s">
        <v>75</v>
      </c>
      <c r="K70" s="50">
        <v>0.0</v>
      </c>
      <c r="L70" s="50" t="str">
        <f>IF(AND(O70=N70,N70=O70),"$0","$9.000")</f>
        <v>$9.000</v>
      </c>
      <c r="M70" s="66">
        <v>9000.0</v>
      </c>
      <c r="N70" s="52" t="b">
        <v>1</v>
      </c>
      <c r="O70" s="53" t="b">
        <v>0</v>
      </c>
      <c r="P70" s="49">
        <v>0.0</v>
      </c>
      <c r="Q70" s="38"/>
      <c r="R70" s="25"/>
      <c r="S70" s="68" t="s">
        <v>75</v>
      </c>
      <c r="T70" s="49">
        <v>0.0</v>
      </c>
      <c r="U70" s="50" t="str">
        <f>IF(AND(X70=W70,W70=X70),"$0","$9.000")</f>
        <v>$9.000</v>
      </c>
      <c r="V70" s="66">
        <v>9000.0</v>
      </c>
      <c r="W70" s="52" t="b">
        <v>0</v>
      </c>
      <c r="X70" s="53" t="b">
        <v>1</v>
      </c>
      <c r="Y70" s="49">
        <v>0.0</v>
      </c>
      <c r="Z70" s="1"/>
      <c r="AA70" s="1"/>
    </row>
    <row r="71">
      <c r="A71" s="68" t="s">
        <v>76</v>
      </c>
      <c r="B71" s="49">
        <v>3000.0</v>
      </c>
      <c r="C71" s="64" t="str">
        <f>IF(AND(F71=E71,E71=F71),"$0","$19.200")</f>
        <v>$0</v>
      </c>
      <c r="D71" s="51">
        <v>19200.0</v>
      </c>
      <c r="E71" s="52" t="b">
        <v>0</v>
      </c>
      <c r="F71" s="53" t="b">
        <v>0</v>
      </c>
      <c r="G71" s="49">
        <v>18000.0</v>
      </c>
      <c r="H71" s="1"/>
      <c r="I71" s="38"/>
      <c r="J71" s="68" t="s">
        <v>76</v>
      </c>
      <c r="K71" s="49">
        <v>4200.0</v>
      </c>
      <c r="L71" s="64" t="str">
        <f>IF(AND(O71=N71,N71=O71),"$0","$19.200")</f>
        <v>$0</v>
      </c>
      <c r="M71" s="51">
        <v>19200.0</v>
      </c>
      <c r="N71" s="52" t="b">
        <v>0</v>
      </c>
      <c r="O71" s="53" t="b">
        <v>0</v>
      </c>
      <c r="P71" s="49">
        <v>15000.0</v>
      </c>
      <c r="Q71" s="38"/>
      <c r="R71" s="25"/>
      <c r="S71" s="68" t="s">
        <v>76</v>
      </c>
      <c r="T71" s="49">
        <v>0.0</v>
      </c>
      <c r="U71" s="64" t="str">
        <f>IF(AND(X71=W71,W71=X71),"$0","$19.200")</f>
        <v>$0</v>
      </c>
      <c r="V71" s="51">
        <v>19200.0</v>
      </c>
      <c r="W71" s="52" t="b">
        <v>0</v>
      </c>
      <c r="X71" s="53" t="b">
        <v>0</v>
      </c>
      <c r="Y71" s="49">
        <v>0.0</v>
      </c>
      <c r="Z71" s="1"/>
      <c r="AA71" s="1"/>
    </row>
    <row r="72">
      <c r="A72" s="68" t="s">
        <v>77</v>
      </c>
      <c r="B72" s="49">
        <v>10000.0</v>
      </c>
      <c r="C72" s="50" t="str">
        <f>IF(AND(F72=E72,E72=F72),"$0","$24.000")</f>
        <v>$0</v>
      </c>
      <c r="D72" s="65">
        <v>24000.0</v>
      </c>
      <c r="E72" s="52" t="b">
        <v>0</v>
      </c>
      <c r="F72" s="53" t="b">
        <v>0</v>
      </c>
      <c r="G72" s="49">
        <v>0.0</v>
      </c>
      <c r="H72" s="1"/>
      <c r="I72" s="38"/>
      <c r="J72" s="68" t="s">
        <v>77</v>
      </c>
      <c r="K72" s="49">
        <v>0.0</v>
      </c>
      <c r="L72" s="50" t="str">
        <f>IF(AND(O72=N72,N72=O72),"$0","$24.000")</f>
        <v>$0</v>
      </c>
      <c r="M72" s="65">
        <v>24000.0</v>
      </c>
      <c r="N72" s="52" t="b">
        <v>0</v>
      </c>
      <c r="O72" s="53" t="b">
        <v>0</v>
      </c>
      <c r="P72" s="49">
        <v>0.0</v>
      </c>
      <c r="Q72" s="38"/>
      <c r="R72" s="25"/>
      <c r="S72" s="68" t="s">
        <v>77</v>
      </c>
      <c r="T72" s="49">
        <v>0.0</v>
      </c>
      <c r="U72" s="50" t="str">
        <f>IF(AND(X72=W72,W72=X72),"$0","$24.000")</f>
        <v>$0</v>
      </c>
      <c r="V72" s="65">
        <v>24000.0</v>
      </c>
      <c r="W72" s="52" t="b">
        <v>0</v>
      </c>
      <c r="X72" s="53" t="b">
        <v>0</v>
      </c>
      <c r="Y72" s="49">
        <v>0.0</v>
      </c>
      <c r="Z72" s="1"/>
      <c r="AA72" s="1"/>
    </row>
    <row r="73">
      <c r="A73" s="68" t="s">
        <v>78</v>
      </c>
      <c r="B73" s="50">
        <v>0.0</v>
      </c>
      <c r="C73" s="50" t="str">
        <f>IF(AND(F73=E73,E73=F73),"$0","$24.400")</f>
        <v>$0</v>
      </c>
      <c r="D73" s="64">
        <v>24400.0</v>
      </c>
      <c r="E73" s="52" t="b">
        <v>0</v>
      </c>
      <c r="F73" s="53" t="b">
        <v>0</v>
      </c>
      <c r="G73" s="49">
        <v>0.0</v>
      </c>
      <c r="H73" s="1"/>
      <c r="I73" s="38"/>
      <c r="J73" s="68" t="s">
        <v>78</v>
      </c>
      <c r="K73" s="50">
        <v>0.0</v>
      </c>
      <c r="L73" s="50" t="str">
        <f>IF(AND(O73=N73,N73=O73),"$0","$24.400")</f>
        <v>$0</v>
      </c>
      <c r="M73" s="64">
        <v>24400.0</v>
      </c>
      <c r="N73" s="52" t="b">
        <v>0</v>
      </c>
      <c r="O73" s="53" t="b">
        <v>0</v>
      </c>
      <c r="P73" s="49">
        <v>0.0</v>
      </c>
      <c r="Q73" s="38"/>
      <c r="R73" s="25"/>
      <c r="S73" s="68" t="s">
        <v>78</v>
      </c>
      <c r="T73" s="49">
        <v>0.0</v>
      </c>
      <c r="U73" s="50" t="str">
        <f>IF(AND(X73=W73,W73=X73),"$0","$24.400")</f>
        <v>$0</v>
      </c>
      <c r="V73" s="64">
        <v>24400.0</v>
      </c>
      <c r="W73" s="52" t="b">
        <v>0</v>
      </c>
      <c r="X73" s="53" t="b">
        <v>0</v>
      </c>
      <c r="Y73" s="49">
        <v>0.0</v>
      </c>
      <c r="Z73" s="1"/>
      <c r="AA73" s="1"/>
    </row>
    <row r="74">
      <c r="A74" s="68" t="s">
        <v>79</v>
      </c>
      <c r="B74" s="50">
        <v>0.0</v>
      </c>
      <c r="C74" s="50" t="str">
        <f>IF(AND(F74=E74,E74=F74),"$0","$15.300")</f>
        <v>$0</v>
      </c>
      <c r="D74" s="65">
        <v>15300.0</v>
      </c>
      <c r="E74" s="52" t="b">
        <v>0</v>
      </c>
      <c r="F74" s="53" t="b">
        <v>0</v>
      </c>
      <c r="G74" s="49">
        <v>0.0</v>
      </c>
      <c r="H74" s="1"/>
      <c r="I74" s="38"/>
      <c r="J74" s="68" t="s">
        <v>79</v>
      </c>
      <c r="K74" s="50">
        <v>0.0</v>
      </c>
      <c r="L74" s="50" t="str">
        <f>IF(AND(O74=N74,N74=O74),"$0","$15.300")</f>
        <v>$0</v>
      </c>
      <c r="M74" s="65">
        <v>15300.0</v>
      </c>
      <c r="N74" s="52" t="b">
        <v>0</v>
      </c>
      <c r="O74" s="53" t="b">
        <v>0</v>
      </c>
      <c r="P74" s="49">
        <v>0.0</v>
      </c>
      <c r="Q74" s="38"/>
      <c r="R74" s="25"/>
      <c r="S74" s="68" t="s">
        <v>79</v>
      </c>
      <c r="T74" s="49">
        <v>0.0</v>
      </c>
      <c r="U74" s="50" t="str">
        <f>IF(AND(X74=W74,W74=X74),"$0","$15.300")</f>
        <v>$0</v>
      </c>
      <c r="V74" s="65">
        <v>15300.0</v>
      </c>
      <c r="W74" s="52" t="b">
        <v>0</v>
      </c>
      <c r="X74" s="53" t="b">
        <v>0</v>
      </c>
      <c r="Y74" s="49">
        <v>0.0</v>
      </c>
      <c r="Z74" s="1"/>
      <c r="AA74" s="1"/>
    </row>
    <row r="75">
      <c r="A75" s="68" t="s">
        <v>80</v>
      </c>
      <c r="B75" s="50">
        <v>0.0</v>
      </c>
      <c r="C75" s="50" t="str">
        <f>IF(AND(F75=E75,E75=F75),"$0","$25.300")</f>
        <v>$0</v>
      </c>
      <c r="D75" s="64">
        <v>25300.0</v>
      </c>
      <c r="E75" s="52" t="b">
        <v>0</v>
      </c>
      <c r="F75" s="53" t="b">
        <v>0</v>
      </c>
      <c r="G75" s="49">
        <v>0.0</v>
      </c>
      <c r="H75" s="1"/>
      <c r="I75" s="38"/>
      <c r="J75" s="68" t="s">
        <v>80</v>
      </c>
      <c r="K75" s="50">
        <v>0.0</v>
      </c>
      <c r="L75" s="50" t="str">
        <f>IF(AND(O75=N75,N75=O75),"$0","$25.300")</f>
        <v>$0</v>
      </c>
      <c r="M75" s="64">
        <v>25300.0</v>
      </c>
      <c r="N75" s="52" t="b">
        <v>0</v>
      </c>
      <c r="O75" s="53" t="b">
        <v>0</v>
      </c>
      <c r="P75" s="49">
        <v>0.0</v>
      </c>
      <c r="Q75" s="38"/>
      <c r="R75" s="25"/>
      <c r="S75" s="68" t="s">
        <v>80</v>
      </c>
      <c r="T75" s="49">
        <v>0.0</v>
      </c>
      <c r="U75" s="50" t="str">
        <f>IF(AND(X75=W75,W75=X75),"$0","$25.300")</f>
        <v>$0</v>
      </c>
      <c r="V75" s="64">
        <v>25300.0</v>
      </c>
      <c r="W75" s="52" t="b">
        <v>0</v>
      </c>
      <c r="X75" s="53" t="b">
        <v>0</v>
      </c>
      <c r="Y75" s="49">
        <v>0.0</v>
      </c>
      <c r="Z75" s="1"/>
      <c r="AA75" s="1"/>
    </row>
    <row r="76">
      <c r="A76" s="68" t="s">
        <v>81</v>
      </c>
      <c r="B76" s="49">
        <v>3000.0</v>
      </c>
      <c r="C76" s="65" t="str">
        <f>IF(AND(F76=E76,E76=F76),"$0","$4.000")</f>
        <v>$0</v>
      </c>
      <c r="D76" s="66">
        <v>4500.0</v>
      </c>
      <c r="E76" s="52" t="b">
        <v>0</v>
      </c>
      <c r="F76" s="53" t="b">
        <v>0</v>
      </c>
      <c r="G76" s="49">
        <v>0.0</v>
      </c>
      <c r="H76" s="1"/>
      <c r="I76" s="38"/>
      <c r="J76" s="68" t="s">
        <v>81</v>
      </c>
      <c r="K76" s="49">
        <v>0.0</v>
      </c>
      <c r="L76" s="65" t="str">
        <f>IF(AND(O76=N76,N76=O76),"$0","$4.000")</f>
        <v>$0</v>
      </c>
      <c r="M76" s="66">
        <v>4500.0</v>
      </c>
      <c r="N76" s="52" t="b">
        <v>0</v>
      </c>
      <c r="O76" s="53" t="b">
        <v>0</v>
      </c>
      <c r="P76" s="49">
        <v>0.0</v>
      </c>
      <c r="Q76" s="38"/>
      <c r="R76" s="25"/>
      <c r="S76" s="68" t="s">
        <v>81</v>
      </c>
      <c r="T76" s="49">
        <v>0.0</v>
      </c>
      <c r="U76" s="65" t="str">
        <f>IF(AND(X76=W76,W76=X76),"$0","$4.000")</f>
        <v>$4.000</v>
      </c>
      <c r="V76" s="66">
        <v>4500.0</v>
      </c>
      <c r="W76" s="52" t="b">
        <v>1</v>
      </c>
      <c r="X76" s="53" t="b">
        <v>0</v>
      </c>
      <c r="Y76" s="49">
        <v>0.0</v>
      </c>
      <c r="Z76" s="1"/>
      <c r="AA76" s="1"/>
    </row>
    <row r="77">
      <c r="A77" s="48" t="s">
        <v>82</v>
      </c>
      <c r="B77" s="50">
        <v>0.0</v>
      </c>
      <c r="C77" s="50" t="str">
        <f>IF(AND(F77=E77,E77=F77),"$0","$21.400")</f>
        <v>$0</v>
      </c>
      <c r="D77" s="51">
        <v>21400.0</v>
      </c>
      <c r="E77" s="52" t="b">
        <v>0</v>
      </c>
      <c r="F77" s="53" t="b">
        <v>0</v>
      </c>
      <c r="G77" s="49">
        <v>0.0</v>
      </c>
      <c r="H77" s="1"/>
      <c r="I77" s="38"/>
      <c r="J77" s="48" t="s">
        <v>82</v>
      </c>
      <c r="K77" s="50">
        <v>0.0</v>
      </c>
      <c r="L77" s="50" t="str">
        <f>IF(AND(O77=N77,N77=O77),"$0","$21.400")</f>
        <v>$0</v>
      </c>
      <c r="M77" s="51">
        <v>21400.0</v>
      </c>
      <c r="N77" s="52" t="b">
        <v>0</v>
      </c>
      <c r="O77" s="53" t="b">
        <v>0</v>
      </c>
      <c r="P77" s="49">
        <v>0.0</v>
      </c>
      <c r="Q77" s="38"/>
      <c r="R77" s="25"/>
      <c r="S77" s="48" t="s">
        <v>82</v>
      </c>
      <c r="T77" s="49">
        <v>0.0</v>
      </c>
      <c r="U77" s="50" t="str">
        <f>IF(AND(X77=W77,W77=X77),"$0","$21.400")</f>
        <v>$0</v>
      </c>
      <c r="V77" s="51">
        <v>21400.0</v>
      </c>
      <c r="W77" s="52" t="b">
        <v>0</v>
      </c>
      <c r="X77" s="53" t="b">
        <v>0</v>
      </c>
      <c r="Y77" s="49">
        <v>42800.0</v>
      </c>
      <c r="Z77" s="1"/>
      <c r="AA77" s="1"/>
    </row>
    <row r="78">
      <c r="A78" s="48" t="s">
        <v>83</v>
      </c>
      <c r="B78" s="50">
        <v>0.0</v>
      </c>
      <c r="C78" s="50" t="str">
        <f>IF(AND(F78=E78,E78=F78),"$0","$37.400")</f>
        <v>$0</v>
      </c>
      <c r="D78" s="66">
        <v>37400.0</v>
      </c>
      <c r="E78" s="52" t="b">
        <v>0</v>
      </c>
      <c r="F78" s="53" t="b">
        <v>0</v>
      </c>
      <c r="G78" s="49">
        <v>0.0</v>
      </c>
      <c r="H78" s="1"/>
      <c r="I78" s="38"/>
      <c r="J78" s="48" t="s">
        <v>83</v>
      </c>
      <c r="K78" s="50">
        <v>0.0</v>
      </c>
      <c r="L78" s="50" t="str">
        <f>IF(AND(O78=N78,N78=O78),"$0","$37.400")</f>
        <v>$0</v>
      </c>
      <c r="M78" s="66">
        <v>37400.0</v>
      </c>
      <c r="N78" s="52" t="b">
        <v>0</v>
      </c>
      <c r="O78" s="53" t="b">
        <v>0</v>
      </c>
      <c r="P78" s="49">
        <v>0.0</v>
      </c>
      <c r="Q78" s="38"/>
      <c r="R78" s="1"/>
      <c r="S78" s="48" t="s">
        <v>83</v>
      </c>
      <c r="T78" s="49">
        <v>0.0</v>
      </c>
      <c r="U78" s="50" t="str">
        <f>IF(AND(X78=W78,W78=X78),"$0","$37.400")</f>
        <v>$0</v>
      </c>
      <c r="V78" s="66">
        <v>37400.0</v>
      </c>
      <c r="W78" s="52" t="b">
        <v>0</v>
      </c>
      <c r="X78" s="53" t="b">
        <v>0</v>
      </c>
      <c r="Y78" s="49">
        <v>0.0</v>
      </c>
      <c r="Z78" s="1"/>
      <c r="AA78" s="1"/>
    </row>
    <row r="79">
      <c r="A79" s="48" t="s">
        <v>84</v>
      </c>
      <c r="B79" s="50">
        <v>0.0</v>
      </c>
      <c r="C79" s="50" t="str">
        <f>IF(AND(F79=E79,E79=F79),"$0","$18.500")</f>
        <v>$18.500</v>
      </c>
      <c r="D79" s="66">
        <v>18500.0</v>
      </c>
      <c r="E79" s="52" t="b">
        <v>1</v>
      </c>
      <c r="F79" s="53" t="b">
        <v>0</v>
      </c>
      <c r="G79" s="49">
        <v>0.0</v>
      </c>
      <c r="H79" s="1"/>
      <c r="I79" s="38"/>
      <c r="J79" s="48" t="s">
        <v>84</v>
      </c>
      <c r="K79" s="49">
        <v>10000.0</v>
      </c>
      <c r="L79" s="50" t="str">
        <f>IF(AND(O79=N79,N79=O79),"$0","$18.500")</f>
        <v>$0</v>
      </c>
      <c r="M79" s="66">
        <v>18500.0</v>
      </c>
      <c r="N79" s="52" t="b">
        <v>0</v>
      </c>
      <c r="O79" s="53" t="b">
        <v>0</v>
      </c>
      <c r="P79" s="49">
        <v>8500.0</v>
      </c>
      <c r="Q79" s="38"/>
      <c r="R79" s="1"/>
      <c r="S79" s="48" t="s">
        <v>84</v>
      </c>
      <c r="T79" s="49">
        <v>0.0</v>
      </c>
      <c r="U79" s="50" t="str">
        <f>IF(AND(X79=W79,W79=X79),"$0","$18.500")</f>
        <v>$18.500</v>
      </c>
      <c r="V79" s="66">
        <v>18500.0</v>
      </c>
      <c r="W79" s="52" t="b">
        <v>1</v>
      </c>
      <c r="X79" s="53" t="b">
        <v>0</v>
      </c>
      <c r="Y79" s="49">
        <v>0.0</v>
      </c>
      <c r="Z79" s="1"/>
      <c r="AA79" s="1"/>
    </row>
    <row r="80">
      <c r="A80" s="48" t="s">
        <v>85</v>
      </c>
      <c r="B80" s="50">
        <v>0.0</v>
      </c>
      <c r="C80" s="50" t="str">
        <f>IF(AND(F80=E80,E80=F80),"$0","$16.500")</f>
        <v>$16.500</v>
      </c>
      <c r="D80" s="51">
        <v>16500.0</v>
      </c>
      <c r="E80" s="52" t="b">
        <v>0</v>
      </c>
      <c r="F80" s="53" t="b">
        <v>1</v>
      </c>
      <c r="G80" s="49">
        <v>0.0</v>
      </c>
      <c r="H80" s="1"/>
      <c r="I80" s="38"/>
      <c r="J80" s="48" t="s">
        <v>85</v>
      </c>
      <c r="K80" s="50">
        <v>0.0</v>
      </c>
      <c r="L80" s="50" t="str">
        <f>IF(AND(O80=N80,N80=O80),"$0","$16.500")</f>
        <v>$16.500</v>
      </c>
      <c r="M80" s="51">
        <v>16500.0</v>
      </c>
      <c r="N80" s="52" t="b">
        <v>0</v>
      </c>
      <c r="O80" s="53" t="b">
        <v>1</v>
      </c>
      <c r="P80" s="49">
        <v>0.0</v>
      </c>
      <c r="Q80" s="38"/>
      <c r="R80" s="25"/>
      <c r="S80" s="48" t="s">
        <v>85</v>
      </c>
      <c r="T80" s="49">
        <v>0.0</v>
      </c>
      <c r="U80" s="50" t="str">
        <f>IF(AND(X80=W80,W80=X80),"$0","$16.500")</f>
        <v>$16.500</v>
      </c>
      <c r="V80" s="51">
        <v>16500.0</v>
      </c>
      <c r="W80" s="52" t="b">
        <v>0</v>
      </c>
      <c r="X80" s="53" t="b">
        <v>1</v>
      </c>
      <c r="Y80" s="49">
        <v>0.0</v>
      </c>
      <c r="Z80" s="1"/>
      <c r="AA80" s="1"/>
    </row>
    <row r="81">
      <c r="A81" s="48" t="s">
        <v>86</v>
      </c>
      <c r="B81" s="50">
        <v>0.0</v>
      </c>
      <c r="C81" s="64" t="str">
        <f>IF(AND(F81=E81,E81=F81),"$0","$53.000")</f>
        <v>$53.000</v>
      </c>
      <c r="D81" s="64">
        <v>53000.0</v>
      </c>
      <c r="E81" s="52" t="b">
        <v>0</v>
      </c>
      <c r="F81" s="53" t="b">
        <v>1</v>
      </c>
      <c r="G81" s="49">
        <v>0.0</v>
      </c>
      <c r="H81" s="1"/>
      <c r="I81" s="38"/>
      <c r="J81" s="48" t="s">
        <v>86</v>
      </c>
      <c r="K81" s="50">
        <v>0.0</v>
      </c>
      <c r="L81" s="64" t="str">
        <f>IF(AND(O81=N81,N81=O81),"$0","$53.000")</f>
        <v>$53.000</v>
      </c>
      <c r="M81" s="64">
        <v>53000.0</v>
      </c>
      <c r="N81" s="52" t="b">
        <v>0</v>
      </c>
      <c r="O81" s="53" t="b">
        <v>1</v>
      </c>
      <c r="P81" s="49">
        <v>0.0</v>
      </c>
      <c r="Q81" s="38"/>
      <c r="R81" s="73"/>
      <c r="S81" s="48" t="s">
        <v>86</v>
      </c>
      <c r="T81" s="49">
        <v>21400.0</v>
      </c>
      <c r="U81" s="64" t="str">
        <f>IF(AND(X81=W81,W81=X81),"$0","$53.000")</f>
        <v>$0</v>
      </c>
      <c r="V81" s="64">
        <v>53000.0</v>
      </c>
      <c r="W81" s="52" t="b">
        <v>0</v>
      </c>
      <c r="X81" s="53" t="b">
        <v>0</v>
      </c>
      <c r="Y81" s="49">
        <v>0.0</v>
      </c>
      <c r="Z81" s="1"/>
      <c r="AA81" s="1"/>
    </row>
    <row r="82">
      <c r="A82" s="48" t="s">
        <v>87</v>
      </c>
      <c r="B82" s="50">
        <v>0.0</v>
      </c>
      <c r="C82" s="64" t="str">
        <f>IF(AND(F82=E82,E82=F82),"$0","$15.900")</f>
        <v>$0</v>
      </c>
      <c r="D82" s="51">
        <v>15900.0</v>
      </c>
      <c r="E82" s="52" t="b">
        <v>0</v>
      </c>
      <c r="F82" s="53" t="b">
        <v>0</v>
      </c>
      <c r="G82" s="49">
        <v>0.0</v>
      </c>
      <c r="H82" s="1"/>
      <c r="I82" s="38"/>
      <c r="J82" s="48" t="s">
        <v>87</v>
      </c>
      <c r="K82" s="50">
        <v>0.0</v>
      </c>
      <c r="L82" s="64" t="str">
        <f>IF(AND(O82=N82,N82=O82),"$0","$15.900")</f>
        <v>$15.900</v>
      </c>
      <c r="M82" s="51">
        <v>15900.0</v>
      </c>
      <c r="N82" s="52" t="b">
        <v>0</v>
      </c>
      <c r="O82" s="53" t="b">
        <v>1</v>
      </c>
      <c r="P82" s="49">
        <v>0.0</v>
      </c>
      <c r="Q82" s="38"/>
      <c r="R82" s="73"/>
      <c r="S82" s="48" t="s">
        <v>87</v>
      </c>
      <c r="T82" s="49">
        <v>0.0</v>
      </c>
      <c r="U82" s="64" t="str">
        <f>IF(AND(X82=W82,W82=X82),"$0","$15.900")</f>
        <v>$15.900</v>
      </c>
      <c r="V82" s="51">
        <v>15900.0</v>
      </c>
      <c r="W82" s="52" t="b">
        <v>0</v>
      </c>
      <c r="X82" s="53" t="b">
        <v>1</v>
      </c>
      <c r="Y82" s="49">
        <v>0.0</v>
      </c>
      <c r="Z82" s="1"/>
      <c r="AA82" s="1"/>
    </row>
    <row r="83">
      <c r="A83" s="48" t="s">
        <v>88</v>
      </c>
      <c r="B83" s="50">
        <v>0.0</v>
      </c>
      <c r="C83" s="50" t="str">
        <f>IF(AND(F83=E83,E83=F83),"$0","$6.400")</f>
        <v>$6.400</v>
      </c>
      <c r="D83" s="65">
        <v>6400.0</v>
      </c>
      <c r="E83" s="52" t="b">
        <v>0</v>
      </c>
      <c r="F83" s="53" t="b">
        <v>1</v>
      </c>
      <c r="G83" s="49">
        <v>0.0</v>
      </c>
      <c r="H83" s="1"/>
      <c r="I83" s="38"/>
      <c r="J83" s="48" t="s">
        <v>88</v>
      </c>
      <c r="K83" s="50">
        <v>0.0</v>
      </c>
      <c r="L83" s="50" t="str">
        <f>IF(AND(O83=N83,N83=O83),"$0","$6.400")</f>
        <v>$0</v>
      </c>
      <c r="M83" s="65">
        <v>6400.0</v>
      </c>
      <c r="N83" s="52" t="b">
        <v>0</v>
      </c>
      <c r="O83" s="53" t="b">
        <v>0</v>
      </c>
      <c r="P83" s="49">
        <v>0.0</v>
      </c>
      <c r="Q83" s="38"/>
      <c r="R83" s="73" t="s">
        <v>132</v>
      </c>
      <c r="S83" s="48" t="s">
        <v>88</v>
      </c>
      <c r="T83" s="49">
        <v>0.0</v>
      </c>
      <c r="U83" s="50" t="str">
        <f>IF(AND(X83=W83,W83=X83),"$0","$6.400")</f>
        <v>$0</v>
      </c>
      <c r="V83" s="65">
        <v>6400.0</v>
      </c>
      <c r="W83" s="52" t="b">
        <v>0</v>
      </c>
      <c r="X83" s="53" t="b">
        <v>0</v>
      </c>
      <c r="Y83" s="49">
        <v>0.0</v>
      </c>
      <c r="Z83" s="1"/>
      <c r="AA83" s="1"/>
    </row>
    <row r="84">
      <c r="A84" s="48" t="s">
        <v>89</v>
      </c>
      <c r="B84" s="50">
        <v>0.0</v>
      </c>
      <c r="C84" s="65" t="str">
        <f>IF(AND(F84=E84,E84=F84),"$0","$12.000")</f>
        <v>$12.000</v>
      </c>
      <c r="D84" s="65">
        <v>12000.0</v>
      </c>
      <c r="E84" s="52" t="b">
        <v>1</v>
      </c>
      <c r="F84" s="53" t="b">
        <v>0</v>
      </c>
      <c r="G84" s="49">
        <v>0.0</v>
      </c>
      <c r="H84" s="1"/>
      <c r="I84" s="38"/>
      <c r="J84" s="48" t="s">
        <v>89</v>
      </c>
      <c r="K84" s="50">
        <v>0.0</v>
      </c>
      <c r="L84" s="65" t="str">
        <f>IF(AND(O84=N84,N84=O84),"$0","$12.000")</f>
        <v>$12.000</v>
      </c>
      <c r="M84" s="65">
        <v>12000.0</v>
      </c>
      <c r="N84" s="52" t="b">
        <v>1</v>
      </c>
      <c r="O84" s="53" t="b">
        <v>0</v>
      </c>
      <c r="P84" s="49">
        <v>0.0</v>
      </c>
      <c r="Q84" s="38"/>
      <c r="R84" s="25"/>
      <c r="S84" s="48" t="s">
        <v>89</v>
      </c>
      <c r="T84" s="49">
        <v>0.0</v>
      </c>
      <c r="U84" s="65" t="str">
        <f>IF(AND(X84=W84,W84=X84),"$0","$12.000")</f>
        <v>$0</v>
      </c>
      <c r="V84" s="65">
        <v>12000.0</v>
      </c>
      <c r="W84" s="52" t="b">
        <v>0</v>
      </c>
      <c r="X84" s="53" t="b">
        <v>0</v>
      </c>
      <c r="Y84" s="49">
        <v>0.0</v>
      </c>
      <c r="Z84" s="1"/>
      <c r="AA84" s="1"/>
    </row>
    <row r="85">
      <c r="A85" s="75" t="s">
        <v>90</v>
      </c>
      <c r="B85" s="50">
        <v>0.0</v>
      </c>
      <c r="C85" s="64" t="str">
        <f>IF(AND(F85=E85,E85=F85),"$0","$5.000")</f>
        <v>$5.000</v>
      </c>
      <c r="D85" s="64">
        <v>5000.0</v>
      </c>
      <c r="E85" s="52" t="b">
        <v>1</v>
      </c>
      <c r="F85" s="53" t="b">
        <v>0</v>
      </c>
      <c r="G85" s="49">
        <v>0.0</v>
      </c>
      <c r="H85" s="1"/>
      <c r="I85" s="38"/>
      <c r="J85" s="75" t="s">
        <v>90</v>
      </c>
      <c r="K85" s="50">
        <v>0.0</v>
      </c>
      <c r="L85" s="64" t="str">
        <f>IF(AND(O85=N85,N85=O85),"$0","$5.000")</f>
        <v>$5.000</v>
      </c>
      <c r="M85" s="64">
        <v>5000.0</v>
      </c>
      <c r="N85" s="52" t="b">
        <v>1</v>
      </c>
      <c r="O85" s="53" t="b">
        <v>0</v>
      </c>
      <c r="P85" s="49">
        <v>0.0</v>
      </c>
      <c r="Q85" s="38"/>
      <c r="R85" s="25"/>
      <c r="S85" s="75" t="s">
        <v>90</v>
      </c>
      <c r="T85" s="49">
        <v>0.0</v>
      </c>
      <c r="U85" s="64" t="str">
        <f>IF(AND(X85=W85,W85=X85),"$0","$5.000")</f>
        <v>$0</v>
      </c>
      <c r="V85" s="64">
        <v>5000.0</v>
      </c>
      <c r="W85" s="52" t="b">
        <v>0</v>
      </c>
      <c r="X85" s="53" t="b">
        <v>0</v>
      </c>
      <c r="Y85" s="49">
        <v>0.0</v>
      </c>
      <c r="Z85" s="1"/>
      <c r="AA85" s="1"/>
    </row>
    <row r="86">
      <c r="A86" s="75" t="s">
        <v>90</v>
      </c>
      <c r="B86" s="50">
        <v>0.0</v>
      </c>
      <c r="C86" s="64" t="str">
        <f>IF(AND(F86=E86,E86=F86),"$0","$6.700")</f>
        <v>$6.700</v>
      </c>
      <c r="D86" s="51">
        <v>6700.0</v>
      </c>
      <c r="E86" s="52" t="b">
        <v>1</v>
      </c>
      <c r="F86" s="53" t="b">
        <v>0</v>
      </c>
      <c r="G86" s="49">
        <v>0.0</v>
      </c>
      <c r="H86" s="1"/>
      <c r="I86" s="38"/>
      <c r="J86" s="75" t="s">
        <v>90</v>
      </c>
      <c r="K86" s="50">
        <v>0.0</v>
      </c>
      <c r="L86" s="64" t="str">
        <f>IF(AND(O86=N86,N86=O86),"$0","$6.700")</f>
        <v>$6.700</v>
      </c>
      <c r="M86" s="51">
        <v>6700.0</v>
      </c>
      <c r="N86" s="52" t="b">
        <v>1</v>
      </c>
      <c r="O86" s="53" t="b">
        <v>0</v>
      </c>
      <c r="P86" s="49">
        <v>0.0</v>
      </c>
      <c r="Q86" s="38"/>
      <c r="R86" s="25"/>
      <c r="S86" s="75" t="s">
        <v>90</v>
      </c>
      <c r="T86" s="49">
        <v>0.0</v>
      </c>
      <c r="U86" s="64" t="str">
        <f>IF(AND(X86=W86,W86=X86),"$0","$6.700")</f>
        <v>$0</v>
      </c>
      <c r="V86" s="51">
        <v>6700.0</v>
      </c>
      <c r="W86" s="52" t="b">
        <v>0</v>
      </c>
      <c r="X86" s="53" t="b">
        <v>0</v>
      </c>
      <c r="Y86" s="49">
        <v>0.0</v>
      </c>
      <c r="Z86" s="1"/>
      <c r="AA86" s="1"/>
    </row>
    <row r="87">
      <c r="A87" s="75" t="s">
        <v>90</v>
      </c>
      <c r="B87" s="50">
        <v>0.0</v>
      </c>
      <c r="C87" s="64" t="str">
        <f>IF(AND(F87=E87,E87=F87),"$0","$7.500")</f>
        <v>$7.500</v>
      </c>
      <c r="D87" s="51">
        <v>7500.0</v>
      </c>
      <c r="E87" s="52" t="b">
        <v>1</v>
      </c>
      <c r="F87" s="53" t="b">
        <v>0</v>
      </c>
      <c r="G87" s="49">
        <v>0.0</v>
      </c>
      <c r="H87" s="1"/>
      <c r="I87" s="38"/>
      <c r="J87" s="75" t="s">
        <v>90</v>
      </c>
      <c r="K87" s="50">
        <v>0.0</v>
      </c>
      <c r="L87" s="64" t="str">
        <f>IF(AND(O87=N87,N87=O87),"$0","$7.500")</f>
        <v>$7.500</v>
      </c>
      <c r="M87" s="51">
        <v>7500.0</v>
      </c>
      <c r="N87" s="52" t="b">
        <v>1</v>
      </c>
      <c r="O87" s="53" t="b">
        <v>0</v>
      </c>
      <c r="P87" s="49">
        <v>0.0</v>
      </c>
      <c r="Q87" s="38"/>
      <c r="R87" s="25"/>
      <c r="S87" s="75" t="s">
        <v>90</v>
      </c>
      <c r="T87" s="49">
        <v>0.0</v>
      </c>
      <c r="U87" s="64" t="str">
        <f>IF(AND(X87=W87,W87=X87),"$0","$7.500")</f>
        <v>$0</v>
      </c>
      <c r="V87" s="51">
        <v>7500.0</v>
      </c>
      <c r="W87" s="52" t="b">
        <v>0</v>
      </c>
      <c r="X87" s="53" t="b">
        <v>0</v>
      </c>
      <c r="Y87" s="49">
        <v>0.0</v>
      </c>
      <c r="Z87" s="1"/>
      <c r="AA87" s="1"/>
    </row>
    <row r="88">
      <c r="A88" s="48" t="s">
        <v>91</v>
      </c>
      <c r="B88" s="50">
        <v>0.0</v>
      </c>
      <c r="C88" s="50" t="str">
        <f>IF(AND(F88=E88,E88=F88),"$0","$42.700")</f>
        <v>$0</v>
      </c>
      <c r="D88" s="66">
        <v>47000.0</v>
      </c>
      <c r="E88" s="52" t="b">
        <v>0</v>
      </c>
      <c r="F88" s="53" t="b">
        <v>0</v>
      </c>
      <c r="G88" s="49">
        <v>0.0</v>
      </c>
      <c r="H88" s="1"/>
      <c r="I88" s="38"/>
      <c r="J88" s="48" t="s">
        <v>91</v>
      </c>
      <c r="K88" s="50">
        <v>0.0</v>
      </c>
      <c r="L88" s="50" t="str">
        <f>IF(AND(O88=N88,N88=O88),"$0","$42.700")</f>
        <v>$0</v>
      </c>
      <c r="M88" s="66">
        <v>47000.0</v>
      </c>
      <c r="N88" s="52" t="b">
        <v>0</v>
      </c>
      <c r="O88" s="53" t="b">
        <v>0</v>
      </c>
      <c r="P88" s="49">
        <v>0.0</v>
      </c>
      <c r="Q88" s="38"/>
      <c r="R88" s="25"/>
      <c r="S88" s="48" t="s">
        <v>91</v>
      </c>
      <c r="T88" s="49">
        <v>0.0</v>
      </c>
      <c r="U88" s="50" t="str">
        <f>IF(AND(X88=W88,W88=X88),"$0","$42.700")</f>
        <v>$42.700</v>
      </c>
      <c r="V88" s="66">
        <v>47000.0</v>
      </c>
      <c r="W88" s="52" t="b">
        <v>1</v>
      </c>
      <c r="X88" s="53" t="b">
        <v>0</v>
      </c>
      <c r="Y88" s="49">
        <v>0.0</v>
      </c>
      <c r="Z88" s="1"/>
      <c r="AA88" s="1"/>
    </row>
    <row r="89">
      <c r="A89" s="48" t="s">
        <v>92</v>
      </c>
      <c r="B89" s="50">
        <v>0.0</v>
      </c>
      <c r="C89" s="64" t="str">
        <f>IF(AND(F89=E89,E89=F89),"$0","$10.000")</f>
        <v>$0</v>
      </c>
      <c r="D89" s="64">
        <v>10000.0</v>
      </c>
      <c r="E89" s="52" t="b">
        <v>0</v>
      </c>
      <c r="F89" s="53" t="b">
        <v>0</v>
      </c>
      <c r="G89" s="49">
        <v>0.0</v>
      </c>
      <c r="H89" s="38"/>
      <c r="I89" s="1"/>
      <c r="J89" s="48" t="s">
        <v>92</v>
      </c>
      <c r="K89" s="50">
        <v>0.0</v>
      </c>
      <c r="L89" s="64" t="str">
        <f>IF(AND(O89=N89,N89=O89),"$0","$10.000")</f>
        <v>$10.000</v>
      </c>
      <c r="M89" s="64">
        <v>10000.0</v>
      </c>
      <c r="N89" s="52" t="b">
        <v>0</v>
      </c>
      <c r="O89" s="53" t="b">
        <v>1</v>
      </c>
      <c r="P89" s="49">
        <v>0.0</v>
      </c>
      <c r="Q89" s="38"/>
      <c r="R89" s="25"/>
      <c r="S89" s="48" t="s">
        <v>92</v>
      </c>
      <c r="T89" s="49">
        <v>0.0</v>
      </c>
      <c r="U89" s="64" t="str">
        <f>IF(AND(X89=W89,W89=X89),"$0","$10.000")</f>
        <v>$0</v>
      </c>
      <c r="V89" s="64">
        <v>10000.0</v>
      </c>
      <c r="W89" s="52" t="b">
        <v>0</v>
      </c>
      <c r="X89" s="53" t="b">
        <v>0</v>
      </c>
      <c r="Y89" s="49">
        <v>0.0</v>
      </c>
      <c r="Z89" s="1"/>
      <c r="AA89" s="1"/>
    </row>
    <row r="90">
      <c r="A90" s="48" t="s">
        <v>92</v>
      </c>
      <c r="B90" s="50">
        <v>0.0</v>
      </c>
      <c r="C90" s="64" t="str">
        <f>IF(AND(F90=E90,E90=F90),"$0","$8.000")</f>
        <v>$8.000</v>
      </c>
      <c r="D90" s="51">
        <v>8000.0</v>
      </c>
      <c r="E90" s="52" t="b">
        <v>0</v>
      </c>
      <c r="F90" s="53" t="b">
        <v>1</v>
      </c>
      <c r="G90" s="49">
        <v>0.0</v>
      </c>
      <c r="H90" s="38"/>
      <c r="I90" s="1"/>
      <c r="J90" s="48" t="s">
        <v>92</v>
      </c>
      <c r="K90" s="50">
        <v>0.0</v>
      </c>
      <c r="L90" s="64" t="str">
        <f>IF(AND(O90=N90,N90=O90),"$0","$8.000")</f>
        <v>$0</v>
      </c>
      <c r="M90" s="51">
        <v>8000.0</v>
      </c>
      <c r="N90" s="52" t="b">
        <v>0</v>
      </c>
      <c r="O90" s="53" t="b">
        <v>0</v>
      </c>
      <c r="P90" s="49">
        <v>0.0</v>
      </c>
      <c r="Q90" s="38"/>
      <c r="R90" s="25"/>
      <c r="S90" s="48" t="s">
        <v>92</v>
      </c>
      <c r="T90" s="49">
        <v>0.0</v>
      </c>
      <c r="U90" s="64" t="str">
        <f>IF(AND(X90=W90,W90=X90),"$0","$8.000")</f>
        <v>$8.000</v>
      </c>
      <c r="V90" s="51">
        <v>8000.0</v>
      </c>
      <c r="W90" s="52" t="b">
        <v>0</v>
      </c>
      <c r="X90" s="53" t="b">
        <v>1</v>
      </c>
      <c r="Y90" s="49">
        <v>0.0</v>
      </c>
      <c r="Z90" s="1"/>
      <c r="AA90" s="1"/>
    </row>
    <row r="91">
      <c r="A91" s="48" t="s">
        <v>93</v>
      </c>
      <c r="B91" s="49">
        <v>0.0</v>
      </c>
      <c r="C91" s="65" t="str">
        <f>IF(AND(F91=E91,E91=F91),"$0","$3900")</f>
        <v>$0</v>
      </c>
      <c r="D91" s="65">
        <v>3900.0</v>
      </c>
      <c r="E91" s="52" t="b">
        <v>0</v>
      </c>
      <c r="F91" s="53" t="b">
        <v>0</v>
      </c>
      <c r="G91" s="49">
        <v>0.0</v>
      </c>
      <c r="H91" s="1"/>
      <c r="I91" s="1"/>
      <c r="J91" s="48" t="s">
        <v>93</v>
      </c>
      <c r="K91" s="49">
        <v>0.0</v>
      </c>
      <c r="L91" s="65" t="str">
        <f>IF(AND(O91=N91,N91=O91),"$0","$3900")</f>
        <v>$0</v>
      </c>
      <c r="M91" s="65">
        <v>3900.0</v>
      </c>
      <c r="N91" s="52" t="b">
        <v>0</v>
      </c>
      <c r="O91" s="53" t="b">
        <v>0</v>
      </c>
      <c r="P91" s="49">
        <v>0.0</v>
      </c>
      <c r="Q91" s="38"/>
      <c r="R91" s="25"/>
      <c r="S91" s="48" t="s">
        <v>93</v>
      </c>
      <c r="T91" s="49">
        <v>0.0</v>
      </c>
      <c r="U91" s="65" t="str">
        <f>IF(AND(X91=W91,W91=X91),"$0","$3900")</f>
        <v>$0</v>
      </c>
      <c r="V91" s="65">
        <v>3900.0</v>
      </c>
      <c r="W91" s="52" t="b">
        <v>0</v>
      </c>
      <c r="X91" s="53" t="b">
        <v>0</v>
      </c>
      <c r="Y91" s="49">
        <v>0.0</v>
      </c>
      <c r="Z91" s="1"/>
      <c r="AA91" s="1"/>
    </row>
    <row r="92">
      <c r="A92" s="58" t="s">
        <v>94</v>
      </c>
      <c r="B92" s="50">
        <v>0.0</v>
      </c>
      <c r="C92" s="65" t="str">
        <f>IF(AND(F92=E92,E92=F92),"$0","$21.400")</f>
        <v>$21.400</v>
      </c>
      <c r="D92" s="66">
        <v>21400.0</v>
      </c>
      <c r="E92" s="52" t="b">
        <v>0</v>
      </c>
      <c r="F92" s="53" t="b">
        <v>1</v>
      </c>
      <c r="G92" s="49">
        <v>0.0</v>
      </c>
      <c r="H92" s="1"/>
      <c r="I92" s="38"/>
      <c r="J92" s="58" t="s">
        <v>94</v>
      </c>
      <c r="K92" s="50">
        <v>0.0</v>
      </c>
      <c r="L92" s="65" t="str">
        <f>IF(AND(O92=N92,N92=O92),"$0","$21.400")</f>
        <v>$21.400</v>
      </c>
      <c r="M92" s="66">
        <v>21400.0</v>
      </c>
      <c r="N92" s="52" t="b">
        <v>0</v>
      </c>
      <c r="O92" s="53" t="b">
        <v>1</v>
      </c>
      <c r="P92" s="49">
        <v>0.0</v>
      </c>
      <c r="Q92" s="38"/>
      <c r="R92" s="25"/>
      <c r="S92" s="58" t="s">
        <v>94</v>
      </c>
      <c r="T92" s="49">
        <v>0.0</v>
      </c>
      <c r="U92" s="65" t="str">
        <f>IF(AND(X92=W92,W92=X92),"$0","$21.400")</f>
        <v>$21.400</v>
      </c>
      <c r="V92" s="66">
        <v>21400.0</v>
      </c>
      <c r="W92" s="52" t="b">
        <v>0</v>
      </c>
      <c r="X92" s="53" t="b">
        <v>1</v>
      </c>
      <c r="Y92" s="49">
        <v>0.0</v>
      </c>
      <c r="Z92" s="1"/>
      <c r="AA92" s="1"/>
    </row>
    <row r="93">
      <c r="A93" s="58" t="s">
        <v>94</v>
      </c>
      <c r="B93" s="50">
        <v>0.0</v>
      </c>
      <c r="C93" s="65" t="str">
        <f>IF(AND(F93=E93,E93=F93),"$0","$42.700")</f>
        <v>$42.700</v>
      </c>
      <c r="D93" s="66">
        <v>42700.0</v>
      </c>
      <c r="E93" s="52" t="b">
        <v>0</v>
      </c>
      <c r="F93" s="53" t="b">
        <v>1</v>
      </c>
      <c r="G93" s="49">
        <v>0.0</v>
      </c>
      <c r="H93" s="1"/>
      <c r="I93" s="38"/>
      <c r="J93" s="58" t="s">
        <v>94</v>
      </c>
      <c r="K93" s="50">
        <v>0.0</v>
      </c>
      <c r="L93" s="65" t="str">
        <f>IF(AND(O93=N93,N93=O93),"$0","$42.700")</f>
        <v>$42.700</v>
      </c>
      <c r="M93" s="66">
        <v>42700.0</v>
      </c>
      <c r="N93" s="52" t="b">
        <v>0</v>
      </c>
      <c r="O93" s="53" t="b">
        <v>1</v>
      </c>
      <c r="P93" s="49">
        <v>0.0</v>
      </c>
      <c r="Q93" s="38"/>
      <c r="R93" s="25"/>
      <c r="S93" s="58" t="s">
        <v>94</v>
      </c>
      <c r="T93" s="50">
        <v>0.0</v>
      </c>
      <c r="U93" s="65" t="str">
        <f>IF(AND(X93=W93,W93=X93),"$0","$42.700")</f>
        <v>$42.700</v>
      </c>
      <c r="V93" s="66">
        <v>42700.0</v>
      </c>
      <c r="W93" s="52" t="b">
        <v>0</v>
      </c>
      <c r="X93" s="53" t="b">
        <v>1</v>
      </c>
      <c r="Y93" s="49">
        <v>0.0</v>
      </c>
      <c r="Z93" s="1"/>
      <c r="AA93" s="1"/>
    </row>
    <row r="94">
      <c r="A94" s="82" t="s">
        <v>95</v>
      </c>
      <c r="B94" s="83">
        <f>SUM(D92:D93,D90,D83,D80,D81,B71:B78,D69,D66,D62,D61,D55,B42,D41,D35:D37,B34,D33,D27,D24,D21,B18,D17,D16,B8,D7)</f>
        <v>472400</v>
      </c>
      <c r="C94" s="84"/>
      <c r="D94" s="84"/>
      <c r="E94" s="84"/>
      <c r="F94" s="85"/>
      <c r="G94" s="85"/>
      <c r="H94" s="1"/>
      <c r="I94" s="38"/>
      <c r="J94" s="82" t="s">
        <v>95</v>
      </c>
      <c r="K94" s="83">
        <f>SUM(,M93,M92,M89,M80:M82,K79,K71,M61,K42:K56,M41,M34,M35,M32,M29,M16,M17,M9,K5)</f>
        <v>428300</v>
      </c>
      <c r="L94" s="84"/>
      <c r="M94" s="84"/>
      <c r="N94" s="84"/>
      <c r="O94" s="85"/>
      <c r="P94" s="85"/>
      <c r="Q94" s="38"/>
      <c r="R94" s="25"/>
      <c r="S94" s="82" t="s">
        <v>95</v>
      </c>
      <c r="T94" s="83"/>
      <c r="U94" s="84"/>
      <c r="V94" s="84"/>
      <c r="W94" s="84"/>
      <c r="X94" s="85"/>
      <c r="Y94" s="85"/>
      <c r="Z94" s="1"/>
      <c r="AA94" s="1"/>
    </row>
    <row r="95">
      <c r="A95" s="86" t="s">
        <v>96</v>
      </c>
      <c r="B95" s="84">
        <f>SUM(D92,D93,D90,D83,D81,D80,B76,B71,B72,D69,D66,D62,D61,D55,B42,D41,B34,D36,D37,D35,D33,D27,D24,B18,D21,D17,D16,B8,D7)</f>
        <v>472400</v>
      </c>
      <c r="C95" s="85"/>
      <c r="D95" s="85"/>
      <c r="E95" s="85"/>
      <c r="F95" s="85"/>
      <c r="H95" s="1"/>
      <c r="I95" s="38"/>
      <c r="J95" s="86" t="s">
        <v>96</v>
      </c>
      <c r="K95" s="84">
        <f>SUM(M96,M97,M100,M102,M102,M104,M109,M110,M92:M93,M89,M84:M87,M80:M82,K79,P63:P78,K70,K71,M70,M61:M62,K36:K63,M41,M34:M35,M32,M29,P5:P33,M27,M22:M24,M14:M17,M18,M7:M9,K5)</f>
        <v>836800</v>
      </c>
      <c r="L95" s="85"/>
      <c r="M95" s="85"/>
      <c r="N95" s="85"/>
      <c r="O95" s="85"/>
      <c r="Q95" s="38"/>
      <c r="R95" s="25"/>
      <c r="S95" s="86" t="s">
        <v>96</v>
      </c>
      <c r="T95" s="84"/>
      <c r="U95" s="85"/>
      <c r="V95" s="85"/>
      <c r="W95" s="85"/>
      <c r="X95" s="85"/>
      <c r="Z95" s="1"/>
      <c r="AA95" s="1"/>
    </row>
    <row r="96">
      <c r="A96" s="58" t="s">
        <v>97</v>
      </c>
      <c r="B96" s="49">
        <v>0.0</v>
      </c>
      <c r="C96" s="64" t="str">
        <f>IF(AND(F96=E96,E96=F96),"$0","$9.700")</f>
        <v>$9.700</v>
      </c>
      <c r="D96" s="51">
        <v>9700.0</v>
      </c>
      <c r="E96" s="52" t="b">
        <v>1</v>
      </c>
      <c r="F96" s="87" t="b">
        <v>0</v>
      </c>
      <c r="G96" s="49">
        <v>0.0</v>
      </c>
      <c r="H96" s="1"/>
      <c r="I96" s="38"/>
      <c r="J96" s="58" t="s">
        <v>97</v>
      </c>
      <c r="K96" s="49">
        <v>0.0</v>
      </c>
      <c r="L96" s="64" t="str">
        <f>IF(AND(O96=N96,N96=O96),"$0","$9.700")</f>
        <v>$9.700</v>
      </c>
      <c r="M96" s="51">
        <v>9700.0</v>
      </c>
      <c r="N96" s="52" t="b">
        <v>1</v>
      </c>
      <c r="O96" s="87" t="b">
        <v>0</v>
      </c>
      <c r="P96" s="49">
        <v>0.0</v>
      </c>
      <c r="Q96" s="38"/>
      <c r="R96" s="25"/>
      <c r="S96" s="58" t="s">
        <v>97</v>
      </c>
      <c r="T96" s="49">
        <v>0.0</v>
      </c>
      <c r="U96" s="64" t="str">
        <f>IF(AND(X96=W96,W96=X96),"$0","$9.700")</f>
        <v>$0</v>
      </c>
      <c r="V96" s="51">
        <v>9700.0</v>
      </c>
      <c r="W96" s="52" t="b">
        <v>0</v>
      </c>
      <c r="X96" s="87" t="b">
        <v>0</v>
      </c>
      <c r="Y96" s="49">
        <v>0.0</v>
      </c>
      <c r="Z96" s="1"/>
      <c r="AA96" s="1"/>
    </row>
    <row r="97">
      <c r="A97" s="58" t="s">
        <v>98</v>
      </c>
      <c r="B97" s="49">
        <v>0.0</v>
      </c>
      <c r="C97" s="64" t="str">
        <f>IF(AND(F97=E97,E97=F97),"$0","$42.700")</f>
        <v>$42.700</v>
      </c>
      <c r="D97" s="51">
        <v>42700.0</v>
      </c>
      <c r="E97" s="52" t="b">
        <v>1</v>
      </c>
      <c r="F97" s="87" t="b">
        <v>0</v>
      </c>
      <c r="G97" s="49">
        <v>0.0</v>
      </c>
      <c r="H97" s="1"/>
      <c r="I97" s="38"/>
      <c r="J97" s="58" t="s">
        <v>98</v>
      </c>
      <c r="K97" s="49">
        <v>0.0</v>
      </c>
      <c r="L97" s="64" t="str">
        <f>IF(AND(O97=N97,N97=O97),"$0","$42.700")</f>
        <v>$42.700</v>
      </c>
      <c r="M97" s="51">
        <v>42700.0</v>
      </c>
      <c r="N97" s="52" t="b">
        <v>1</v>
      </c>
      <c r="O97" s="87" t="b">
        <v>0</v>
      </c>
      <c r="P97" s="49">
        <v>0.0</v>
      </c>
      <c r="Q97" s="1"/>
      <c r="R97" s="1"/>
      <c r="S97" s="58" t="s">
        <v>98</v>
      </c>
      <c r="T97" s="49">
        <v>0.0</v>
      </c>
      <c r="U97" s="64" t="str">
        <f>IF(AND(X97=W97,W97=X97),"$0","$42.700")</f>
        <v>$0</v>
      </c>
      <c r="V97" s="51">
        <v>42700.0</v>
      </c>
      <c r="W97" s="52" t="b">
        <v>0</v>
      </c>
      <c r="X97" s="87" t="b">
        <v>0</v>
      </c>
      <c r="Y97" s="49">
        <v>0.0</v>
      </c>
      <c r="Z97" s="1"/>
      <c r="AA97" s="1"/>
    </row>
    <row r="98">
      <c r="A98" s="58" t="s">
        <v>99</v>
      </c>
      <c r="B98" s="49">
        <v>0.0</v>
      </c>
      <c r="C98" s="64" t="str">
        <f>IF(AND(F98=E98,E98=F98),"$0","$30,000")</f>
        <v>$30,000</v>
      </c>
      <c r="D98" s="51">
        <v>30000.0</v>
      </c>
      <c r="E98" s="52" t="b">
        <v>1</v>
      </c>
      <c r="F98" s="87" t="b">
        <v>0</v>
      </c>
      <c r="G98" s="49">
        <v>0.0</v>
      </c>
      <c r="H98" s="1"/>
      <c r="I98" s="1"/>
      <c r="J98" s="58" t="s">
        <v>99</v>
      </c>
      <c r="K98" s="49">
        <v>0.0</v>
      </c>
      <c r="L98" s="64" t="str">
        <f>IF(AND(O98=N98,N98=O98),"$0","$30,000")</f>
        <v>$0</v>
      </c>
      <c r="M98" s="51">
        <v>30000.0</v>
      </c>
      <c r="N98" s="52" t="b">
        <v>0</v>
      </c>
      <c r="O98" s="87" t="b">
        <v>0</v>
      </c>
      <c r="P98" s="49">
        <v>0.0</v>
      </c>
      <c r="Q98" s="1"/>
      <c r="R98" s="1"/>
      <c r="S98" s="58" t="s">
        <v>99</v>
      </c>
      <c r="T98" s="49">
        <v>0.0</v>
      </c>
      <c r="U98" s="64" t="str">
        <f>IF(AND(X98=W98,W98=X98),"$0","$30,000")</f>
        <v>$0</v>
      </c>
      <c r="V98" s="51">
        <v>30000.0</v>
      </c>
      <c r="W98" s="52" t="b">
        <v>0</v>
      </c>
      <c r="X98" s="87" t="b">
        <v>0</v>
      </c>
      <c r="Y98" s="49">
        <v>0.0</v>
      </c>
      <c r="Z98" s="1"/>
      <c r="AA98" s="1"/>
    </row>
    <row r="99">
      <c r="A99" s="58" t="s">
        <v>100</v>
      </c>
      <c r="B99" s="49">
        <v>0.0</v>
      </c>
      <c r="C99" s="64" t="str">
        <f>IF(AND(F99=E99,E99=F99),"$0","$85.400")</f>
        <v>$85.400</v>
      </c>
      <c r="D99" s="51">
        <v>85400.0</v>
      </c>
      <c r="E99" s="52" t="b">
        <v>1</v>
      </c>
      <c r="F99" s="87" t="b">
        <v>0</v>
      </c>
      <c r="G99" s="49">
        <v>0.0</v>
      </c>
      <c r="H99" s="1"/>
      <c r="I99" s="1"/>
      <c r="J99" s="58" t="s">
        <v>100</v>
      </c>
      <c r="K99" s="49">
        <v>0.0</v>
      </c>
      <c r="L99" s="64" t="str">
        <f>IF(AND(O99=N99,N99=O99),"$0","$85.400")</f>
        <v>$85.400</v>
      </c>
      <c r="M99" s="51">
        <v>85400.0</v>
      </c>
      <c r="N99" s="52" t="b">
        <v>1</v>
      </c>
      <c r="O99" s="87" t="b">
        <v>0</v>
      </c>
      <c r="P99" s="49">
        <v>0.0</v>
      </c>
      <c r="Q99" s="1"/>
      <c r="R99" s="1"/>
      <c r="S99" s="58" t="s">
        <v>100</v>
      </c>
      <c r="T99" s="49">
        <v>0.0</v>
      </c>
      <c r="U99" s="64" t="str">
        <f>IF(AND(X99=W99,W99=X99),"$0","$85.400")</f>
        <v>$0</v>
      </c>
      <c r="V99" s="51">
        <v>85400.0</v>
      </c>
      <c r="W99" s="52" t="b">
        <v>0</v>
      </c>
      <c r="X99" s="87" t="b">
        <v>0</v>
      </c>
      <c r="Y99" s="49">
        <v>0.0</v>
      </c>
      <c r="Z99" s="1"/>
      <c r="AA99" s="1"/>
    </row>
    <row r="100">
      <c r="A100" s="48" t="s">
        <v>101</v>
      </c>
      <c r="B100" s="49">
        <v>0.0</v>
      </c>
      <c r="C100" s="64" t="str">
        <f>IF(AND(F100=E100,E100=F100),"$0","$4.500")</f>
        <v>$4.500</v>
      </c>
      <c r="D100" s="51">
        <v>9000.0</v>
      </c>
      <c r="E100" s="52" t="b">
        <v>1</v>
      </c>
      <c r="F100" s="87" t="b">
        <v>0</v>
      </c>
      <c r="G100" s="49">
        <v>0.0</v>
      </c>
      <c r="H100" s="1"/>
      <c r="I100" s="1"/>
      <c r="J100" s="48" t="s">
        <v>101</v>
      </c>
      <c r="K100" s="49">
        <v>0.0</v>
      </c>
      <c r="L100" s="64" t="str">
        <f>IF(AND(O100=N100,N100=O100),"$0","$4.500")</f>
        <v>$4.500</v>
      </c>
      <c r="M100" s="51">
        <v>9000.0</v>
      </c>
      <c r="N100" s="52" t="b">
        <v>1</v>
      </c>
      <c r="O100" s="87" t="b">
        <v>0</v>
      </c>
      <c r="P100" s="49">
        <v>0.0</v>
      </c>
      <c r="Q100" s="1"/>
      <c r="R100" s="1"/>
      <c r="S100" s="48" t="s">
        <v>101</v>
      </c>
      <c r="T100" s="49">
        <v>0.0</v>
      </c>
      <c r="U100" s="64" t="str">
        <f>IF(AND(X100=W100,W100=X100),"$0","$4.500")</f>
        <v>$4.500</v>
      </c>
      <c r="V100" s="51">
        <v>9000.0</v>
      </c>
      <c r="W100" s="52" t="b">
        <v>1</v>
      </c>
      <c r="X100" s="87" t="b">
        <v>0</v>
      </c>
      <c r="Y100" s="49">
        <v>0.0</v>
      </c>
      <c r="Z100" s="1"/>
      <c r="AA100" s="1"/>
    </row>
    <row r="101">
      <c r="A101" s="58" t="s">
        <v>102</v>
      </c>
      <c r="B101" s="49">
        <v>0.0</v>
      </c>
      <c r="C101" s="64" t="str">
        <f>IF(AND(F101=E101,E101=F101),"$0","$47600")</f>
        <v>$47600</v>
      </c>
      <c r="D101" s="51">
        <v>25000.0</v>
      </c>
      <c r="E101" s="52" t="b">
        <v>1</v>
      </c>
      <c r="F101" s="87" t="b">
        <v>0</v>
      </c>
      <c r="G101" s="49">
        <v>0.0</v>
      </c>
      <c r="H101" s="1"/>
      <c r="I101" s="1"/>
      <c r="J101" s="58" t="s">
        <v>102</v>
      </c>
      <c r="K101" s="49">
        <v>0.0</v>
      </c>
      <c r="L101" s="64" t="str">
        <f>IF(AND(O101=N101,N101=O101),"$0","$47600")</f>
        <v>$0</v>
      </c>
      <c r="M101" s="51">
        <v>25000.0</v>
      </c>
      <c r="N101" s="52" t="b">
        <v>0</v>
      </c>
      <c r="O101" s="87" t="b">
        <v>0</v>
      </c>
      <c r="P101" s="49">
        <v>0.0</v>
      </c>
      <c r="Q101" s="1"/>
      <c r="R101" s="1"/>
      <c r="S101" s="58" t="s">
        <v>102</v>
      </c>
      <c r="T101" s="49">
        <v>0.0</v>
      </c>
      <c r="U101" s="64" t="str">
        <f>IF(AND(X101=W101,W101=X101),"$0","$47600")</f>
        <v>$0</v>
      </c>
      <c r="V101" s="51">
        <v>25000.0</v>
      </c>
      <c r="W101" s="52" t="b">
        <v>0</v>
      </c>
      <c r="X101" s="87" t="b">
        <v>0</v>
      </c>
      <c r="Y101" s="49">
        <v>0.0</v>
      </c>
      <c r="Z101" s="1"/>
      <c r="AA101" s="1"/>
    </row>
    <row r="102">
      <c r="A102" s="48" t="s">
        <v>103</v>
      </c>
      <c r="B102" s="50">
        <v>0.0</v>
      </c>
      <c r="C102" s="50" t="str">
        <f>IF(AND(F102=E102,E102=F102),"$0","$28.000")</f>
        <v>$28.000</v>
      </c>
      <c r="D102" s="66">
        <v>28000.0</v>
      </c>
      <c r="E102" s="52" t="b">
        <v>1</v>
      </c>
      <c r="F102" s="87" t="b">
        <v>0</v>
      </c>
      <c r="G102" s="49">
        <v>0.0</v>
      </c>
      <c r="H102" s="1"/>
      <c r="I102" s="1"/>
      <c r="J102" s="48" t="s">
        <v>103</v>
      </c>
      <c r="K102" s="50">
        <v>0.0</v>
      </c>
      <c r="L102" s="50" t="str">
        <f>IF(AND(O102=N102,N102=O102),"$0","$28.000")</f>
        <v>$28.000</v>
      </c>
      <c r="M102" s="66">
        <v>28000.0</v>
      </c>
      <c r="N102" s="52" t="b">
        <v>1</v>
      </c>
      <c r="O102" s="87" t="b">
        <v>0</v>
      </c>
      <c r="P102" s="49">
        <v>0.0</v>
      </c>
      <c r="Q102" s="1"/>
      <c r="R102" s="1"/>
      <c r="S102" s="48" t="s">
        <v>103</v>
      </c>
      <c r="T102" s="50">
        <v>0.0</v>
      </c>
      <c r="U102" s="50" t="str">
        <f>IF(AND(X102=W102,W102=X102),"$0","$28.000")</f>
        <v>$28.000</v>
      </c>
      <c r="V102" s="66">
        <v>28000.0</v>
      </c>
      <c r="W102" s="52" t="b">
        <v>1</v>
      </c>
      <c r="X102" s="87" t="b">
        <v>0</v>
      </c>
      <c r="Y102" s="49">
        <v>0.0</v>
      </c>
      <c r="Z102" s="1"/>
      <c r="AA102" s="1"/>
    </row>
    <row r="103">
      <c r="A103" s="48" t="s">
        <v>104</v>
      </c>
      <c r="B103" s="50">
        <v>0.0</v>
      </c>
      <c r="C103" s="64" t="str">
        <f>IF(AND(F103=E103,E103=F103),"$0","$21.400")</f>
        <v>$0</v>
      </c>
      <c r="D103" s="51">
        <v>21400.0</v>
      </c>
      <c r="E103" s="52" t="b">
        <v>0</v>
      </c>
      <c r="F103" s="88" t="b">
        <v>0</v>
      </c>
      <c r="G103" s="49">
        <v>0.0</v>
      </c>
      <c r="H103" s="1"/>
      <c r="I103" s="1"/>
      <c r="J103" s="48" t="s">
        <v>104</v>
      </c>
      <c r="K103" s="50">
        <v>0.0</v>
      </c>
      <c r="L103" s="64" t="str">
        <f>IF(AND(O103=N103,N103=O103),"$0","$21.400")</f>
        <v>$0</v>
      </c>
      <c r="M103" s="51">
        <v>21400.0</v>
      </c>
      <c r="N103" s="52" t="b">
        <v>0</v>
      </c>
      <c r="O103" s="88" t="b">
        <v>0</v>
      </c>
      <c r="P103" s="49">
        <v>0.0</v>
      </c>
      <c r="Q103" s="1"/>
      <c r="R103" s="1"/>
      <c r="S103" s="48" t="s">
        <v>104</v>
      </c>
      <c r="T103" s="50">
        <v>0.0</v>
      </c>
      <c r="U103" s="64" t="str">
        <f>IF(AND(X103=W103,W103=X103),"$0","$21.400")</f>
        <v>$21.400</v>
      </c>
      <c r="V103" s="51">
        <v>21400.0</v>
      </c>
      <c r="W103" s="52" t="b">
        <v>1</v>
      </c>
      <c r="X103" s="88" t="b">
        <v>0</v>
      </c>
      <c r="Y103" s="49">
        <v>0.0</v>
      </c>
      <c r="Z103" s="1"/>
      <c r="AA103" s="1"/>
    </row>
    <row r="104">
      <c r="A104" s="48" t="s">
        <v>105</v>
      </c>
      <c r="B104" s="49">
        <v>0.0</v>
      </c>
      <c r="C104" s="64" t="str">
        <f>IF(AND(F104=E104,E104=F104),"$0","$12.800")</f>
        <v>$0</v>
      </c>
      <c r="D104" s="51">
        <v>12000.0</v>
      </c>
      <c r="E104" s="52" t="b">
        <v>0</v>
      </c>
      <c r="F104" s="88" t="b">
        <v>0</v>
      </c>
      <c r="G104" s="49">
        <v>0.0</v>
      </c>
      <c r="H104" s="1"/>
      <c r="I104" s="1"/>
      <c r="J104" s="48" t="s">
        <v>105</v>
      </c>
      <c r="K104" s="49">
        <v>0.0</v>
      </c>
      <c r="L104" s="64" t="str">
        <f>IF(AND(O104=N104,N104=O104),"$0","$12.800")</f>
        <v>$12.800</v>
      </c>
      <c r="M104" s="51">
        <v>12000.0</v>
      </c>
      <c r="N104" s="52" t="b">
        <v>1</v>
      </c>
      <c r="O104" s="88" t="b">
        <v>0</v>
      </c>
      <c r="P104" s="49">
        <v>0.0</v>
      </c>
      <c r="Q104" s="1"/>
      <c r="R104" s="1"/>
      <c r="S104" s="48" t="s">
        <v>105</v>
      </c>
      <c r="T104" s="49">
        <v>0.0</v>
      </c>
      <c r="U104" s="64" t="str">
        <f>IF(AND(X104=W104,W104=X104),"$0","$12.800")</f>
        <v>$0</v>
      </c>
      <c r="V104" s="51">
        <v>12000.0</v>
      </c>
      <c r="W104" s="52" t="b">
        <v>0</v>
      </c>
      <c r="X104" s="88" t="b">
        <v>0</v>
      </c>
      <c r="Y104" s="49">
        <v>0.0</v>
      </c>
      <c r="Z104" s="1"/>
      <c r="AA104" s="1"/>
    </row>
    <row r="105">
      <c r="A105" s="48" t="s">
        <v>105</v>
      </c>
      <c r="B105" s="50">
        <v>0.0</v>
      </c>
      <c r="C105" s="65" t="str">
        <f>IF(AND(F105=E105,E105=F105),"$0","$12.000")</f>
        <v>$12.000</v>
      </c>
      <c r="D105" s="66">
        <v>12000.0</v>
      </c>
      <c r="E105" s="52" t="b">
        <v>1</v>
      </c>
      <c r="F105" s="88" t="b">
        <v>0</v>
      </c>
      <c r="G105" s="49">
        <v>0.0</v>
      </c>
      <c r="H105" s="1"/>
      <c r="I105" s="1"/>
      <c r="J105" s="48" t="s">
        <v>105</v>
      </c>
      <c r="K105" s="50">
        <v>0.0</v>
      </c>
      <c r="L105" s="65" t="str">
        <f>IF(AND(O105=N105,N105=O105),"$0","$12.000")</f>
        <v>$0</v>
      </c>
      <c r="M105" s="66">
        <v>12000.0</v>
      </c>
      <c r="N105" s="52" t="b">
        <v>0</v>
      </c>
      <c r="O105" s="88" t="b">
        <v>0</v>
      </c>
      <c r="P105" s="49">
        <v>0.0</v>
      </c>
      <c r="Q105" s="1"/>
      <c r="R105" s="1"/>
      <c r="S105" s="48" t="s">
        <v>105</v>
      </c>
      <c r="T105" s="50">
        <v>0.0</v>
      </c>
      <c r="U105" s="65" t="str">
        <f>IF(AND(X105=W105,W105=X105),"$0","$12.000")</f>
        <v>$0</v>
      </c>
      <c r="V105" s="66">
        <v>12000.0</v>
      </c>
      <c r="W105" s="52" t="b">
        <v>0</v>
      </c>
      <c r="X105" s="88" t="b">
        <v>0</v>
      </c>
      <c r="Y105" s="49">
        <v>0.0</v>
      </c>
      <c r="Z105" s="1"/>
      <c r="AA105" s="1"/>
    </row>
    <row r="106">
      <c r="A106" s="48" t="s">
        <v>106</v>
      </c>
      <c r="B106" s="50">
        <v>0.0</v>
      </c>
      <c r="C106" s="50" t="str">
        <f>IF(AND(F106=E106,E106=F106),"$0","$8.000")</f>
        <v>$0</v>
      </c>
      <c r="D106" s="51">
        <v>8000.0</v>
      </c>
      <c r="E106" s="52" t="b">
        <v>0</v>
      </c>
      <c r="F106" s="89"/>
      <c r="G106" s="49">
        <v>0.0</v>
      </c>
      <c r="H106" s="1"/>
      <c r="I106" s="1"/>
      <c r="J106" s="48" t="s">
        <v>106</v>
      </c>
      <c r="K106" s="50">
        <v>0.0</v>
      </c>
      <c r="L106" s="50" t="str">
        <f>IF(AND(O106=N106,N106=O106),"$0","$8.000")</f>
        <v>$0</v>
      </c>
      <c r="M106" s="51">
        <v>8000.0</v>
      </c>
      <c r="N106" s="52" t="b">
        <v>0</v>
      </c>
      <c r="O106" s="89"/>
      <c r="P106" s="49">
        <v>0.0</v>
      </c>
      <c r="Q106" s="1"/>
      <c r="R106" s="1"/>
      <c r="S106" s="48" t="s">
        <v>106</v>
      </c>
      <c r="T106" s="50">
        <v>0.0</v>
      </c>
      <c r="U106" s="50" t="str">
        <f>IF(AND(X106=W106,W106=X106),"$0","$8.000")</f>
        <v>$0</v>
      </c>
      <c r="V106" s="51">
        <v>8000.0</v>
      </c>
      <c r="W106" s="52" t="b">
        <v>0</v>
      </c>
      <c r="X106" s="89"/>
      <c r="Y106" s="49">
        <v>0.0</v>
      </c>
      <c r="Z106" s="1"/>
      <c r="AA106" s="1"/>
    </row>
    <row r="107">
      <c r="A107" s="48" t="s">
        <v>106</v>
      </c>
      <c r="B107" s="50">
        <v>0.0</v>
      </c>
      <c r="C107" s="50" t="str">
        <f>IF(AND(F107=E107,E107=F107),"$0","$14.300")</f>
        <v>$0</v>
      </c>
      <c r="D107" s="51">
        <v>14300.0</v>
      </c>
      <c r="E107" s="52" t="b">
        <v>0</v>
      </c>
      <c r="F107" s="89"/>
      <c r="G107" s="49">
        <v>0.0</v>
      </c>
      <c r="H107" s="1"/>
      <c r="I107" s="1"/>
      <c r="J107" s="48" t="s">
        <v>106</v>
      </c>
      <c r="K107" s="50">
        <v>0.0</v>
      </c>
      <c r="L107" s="50" t="str">
        <f>IF(AND(O107=N107,N107=O107),"$0","$14.300")</f>
        <v>$0</v>
      </c>
      <c r="M107" s="51">
        <v>14300.0</v>
      </c>
      <c r="N107" s="52" t="b">
        <v>0</v>
      </c>
      <c r="O107" s="89"/>
      <c r="P107" s="49">
        <v>0.0</v>
      </c>
      <c r="Q107" s="1"/>
      <c r="R107" s="1"/>
      <c r="S107" s="48" t="s">
        <v>106</v>
      </c>
      <c r="T107" s="50">
        <v>0.0</v>
      </c>
      <c r="U107" s="50" t="str">
        <f>IF(AND(X107=W107,W107=X107),"$0","$14.300")</f>
        <v>$0</v>
      </c>
      <c r="V107" s="51">
        <v>14300.0</v>
      </c>
      <c r="W107" s="52" t="b">
        <v>0</v>
      </c>
      <c r="X107" s="89"/>
      <c r="Y107" s="49">
        <v>0.0</v>
      </c>
      <c r="Z107" s="1"/>
      <c r="AA107" s="1"/>
    </row>
    <row r="108">
      <c r="A108" s="48" t="s">
        <v>106</v>
      </c>
      <c r="B108" s="50">
        <v>0.0</v>
      </c>
      <c r="C108" s="50" t="str">
        <f>IF(AND(F108=E108,E108=F108),"$0","$10.800")</f>
        <v>$0</v>
      </c>
      <c r="D108" s="64">
        <v>10800.0</v>
      </c>
      <c r="E108" s="52" t="b">
        <v>0</v>
      </c>
      <c r="F108" s="88" t="b">
        <v>0</v>
      </c>
      <c r="G108" s="49">
        <v>0.0</v>
      </c>
      <c r="H108" s="1"/>
      <c r="I108" s="1"/>
      <c r="J108" s="48" t="s">
        <v>106</v>
      </c>
      <c r="K108" s="50">
        <v>0.0</v>
      </c>
      <c r="L108" s="50" t="str">
        <f>IF(AND(O108=N108,N108=O108),"$0","$10.800")</f>
        <v>$0</v>
      </c>
      <c r="M108" s="64">
        <v>10800.0</v>
      </c>
      <c r="N108" s="52" t="b">
        <v>0</v>
      </c>
      <c r="O108" s="88" t="b">
        <v>0</v>
      </c>
      <c r="P108" s="49">
        <v>0.0</v>
      </c>
      <c r="Q108" s="1"/>
      <c r="R108" s="1"/>
      <c r="S108" s="48" t="s">
        <v>106</v>
      </c>
      <c r="T108" s="50">
        <v>0.0</v>
      </c>
      <c r="U108" s="50" t="str">
        <f>IF(AND(X108=W108,W108=X108),"$0","$10.800")</f>
        <v>$0</v>
      </c>
      <c r="V108" s="64">
        <v>10800.0</v>
      </c>
      <c r="W108" s="52" t="b">
        <v>0</v>
      </c>
      <c r="X108" s="88" t="b">
        <v>0</v>
      </c>
      <c r="Y108" s="49">
        <v>0.0</v>
      </c>
      <c r="Z108" s="1"/>
      <c r="AA108" s="1"/>
    </row>
    <row r="109">
      <c r="A109" s="75" t="s">
        <v>107</v>
      </c>
      <c r="B109" s="50">
        <v>0.0</v>
      </c>
      <c r="C109" s="65" t="str">
        <f>IF(AND(F109=E109,E109=F109),"$0","$5.100")</f>
        <v>$5.100</v>
      </c>
      <c r="D109" s="66">
        <v>5100.0</v>
      </c>
      <c r="E109" s="52" t="b">
        <v>1</v>
      </c>
      <c r="F109" s="88" t="b">
        <v>0</v>
      </c>
      <c r="G109" s="49">
        <v>0.0</v>
      </c>
      <c r="H109" s="1"/>
      <c r="I109" s="1"/>
      <c r="J109" s="75" t="s">
        <v>107</v>
      </c>
      <c r="K109" s="50">
        <v>0.0</v>
      </c>
      <c r="L109" s="65" t="str">
        <f>IF(AND(O109=N109,N109=O109),"$0","$5.100")</f>
        <v>$5.100</v>
      </c>
      <c r="M109" s="66">
        <v>5100.0</v>
      </c>
      <c r="N109" s="52" t="b">
        <v>1</v>
      </c>
      <c r="O109" s="88" t="b">
        <v>0</v>
      </c>
      <c r="P109" s="49">
        <v>0.0</v>
      </c>
      <c r="Q109" s="1"/>
      <c r="R109" s="1"/>
      <c r="S109" s="75" t="s">
        <v>107</v>
      </c>
      <c r="T109" s="50">
        <v>0.0</v>
      </c>
      <c r="U109" s="65" t="str">
        <f>IF(AND(X109=W109,W109=X109),"$0","$5.100")</f>
        <v>$5.100</v>
      </c>
      <c r="V109" s="66">
        <v>5100.0</v>
      </c>
      <c r="W109" s="52" t="b">
        <v>1</v>
      </c>
      <c r="X109" s="88" t="b">
        <v>0</v>
      </c>
      <c r="Y109" s="49">
        <v>0.0</v>
      </c>
      <c r="Z109" s="1"/>
      <c r="AA109" s="1"/>
    </row>
    <row r="110">
      <c r="A110" s="75" t="s">
        <v>107</v>
      </c>
      <c r="B110" s="50">
        <v>0.0</v>
      </c>
      <c r="C110" s="65" t="str">
        <f>IF(AND(F110=E110,E110=F110),"$0","$15.800")</f>
        <v>$15.800</v>
      </c>
      <c r="D110" s="66">
        <v>15800.0</v>
      </c>
      <c r="E110" s="52" t="b">
        <v>1</v>
      </c>
      <c r="F110" s="88" t="b">
        <v>0</v>
      </c>
      <c r="G110" s="49">
        <v>0.0</v>
      </c>
      <c r="H110" s="1"/>
      <c r="I110" s="1"/>
      <c r="J110" s="75" t="s">
        <v>107</v>
      </c>
      <c r="K110" s="50">
        <v>0.0</v>
      </c>
      <c r="L110" s="65" t="str">
        <f>IF(AND(O110=N110,N110=O110),"$0","$15.800")</f>
        <v>$15.800</v>
      </c>
      <c r="M110" s="66">
        <v>15800.0</v>
      </c>
      <c r="N110" s="52" t="b">
        <v>1</v>
      </c>
      <c r="O110" s="88" t="b">
        <v>0</v>
      </c>
      <c r="P110" s="49">
        <v>0.0</v>
      </c>
      <c r="Q110" s="1"/>
      <c r="R110" s="17" t="s">
        <v>133</v>
      </c>
      <c r="S110" s="75" t="s">
        <v>107</v>
      </c>
      <c r="T110" s="50">
        <v>0.0</v>
      </c>
      <c r="U110" s="65" t="str">
        <f>IF(AND(X110=W110,W110=X110),"$0","$15.800")</f>
        <v>$15.800</v>
      </c>
      <c r="V110" s="66">
        <v>15800.0</v>
      </c>
      <c r="W110" s="52" t="b">
        <v>1</v>
      </c>
      <c r="X110" s="88" t="b">
        <v>0</v>
      </c>
      <c r="Y110" s="49">
        <v>0.0</v>
      </c>
      <c r="Z110" s="1"/>
      <c r="AA110" s="1"/>
    </row>
    <row r="111">
      <c r="A111" s="75" t="s">
        <v>108</v>
      </c>
      <c r="B111" s="50">
        <v>0.0</v>
      </c>
      <c r="C111" s="64" t="str">
        <f>IF(AND(F111=E111,E111=F111),"$0","$7.000")</f>
        <v>$0</v>
      </c>
      <c r="D111" s="51">
        <v>7000.0</v>
      </c>
      <c r="E111" s="52" t="b">
        <v>0</v>
      </c>
      <c r="F111" s="89"/>
      <c r="G111" s="49">
        <v>0.0</v>
      </c>
      <c r="H111" s="1"/>
      <c r="I111" s="1"/>
      <c r="J111" s="75" t="s">
        <v>108</v>
      </c>
      <c r="K111" s="50">
        <v>0.0</v>
      </c>
      <c r="L111" s="64" t="str">
        <f>IF(AND(O111=N111,N111=O111),"$0","$7.000")</f>
        <v>$0</v>
      </c>
      <c r="M111" s="51">
        <v>7000.0</v>
      </c>
      <c r="N111" s="52" t="b">
        <v>0</v>
      </c>
      <c r="O111" s="89"/>
      <c r="P111" s="49">
        <v>0.0</v>
      </c>
      <c r="Q111" s="1"/>
      <c r="R111" s="1"/>
      <c r="S111" s="75" t="s">
        <v>108</v>
      </c>
      <c r="T111" s="50">
        <v>0.0</v>
      </c>
      <c r="U111" s="64" t="str">
        <f>IF(AND(X111=W111,W111=X111),"$0","$7.000")</f>
        <v>$0</v>
      </c>
      <c r="V111" s="51">
        <v>7000.0</v>
      </c>
      <c r="W111" s="52" t="b">
        <v>0</v>
      </c>
      <c r="X111" s="89"/>
      <c r="Y111" s="49">
        <v>0.0</v>
      </c>
      <c r="Z111" s="1"/>
      <c r="AA111" s="1"/>
    </row>
    <row r="112">
      <c r="A112" s="75" t="s">
        <v>109</v>
      </c>
      <c r="B112" s="50">
        <v>0.0</v>
      </c>
      <c r="C112" s="65" t="str">
        <f>IF(AND(F112=E112,E112=F112),"$0","$3.700")</f>
        <v>$0</v>
      </c>
      <c r="D112" s="66">
        <v>3700.0</v>
      </c>
      <c r="E112" s="52" t="b">
        <v>0</v>
      </c>
      <c r="F112" s="89"/>
      <c r="G112" s="49">
        <v>0.0</v>
      </c>
      <c r="H112" s="1"/>
      <c r="I112" s="1"/>
      <c r="J112" s="75" t="s">
        <v>109</v>
      </c>
      <c r="K112" s="50">
        <v>0.0</v>
      </c>
      <c r="L112" s="65" t="str">
        <f>IF(AND(O112=N112,N112=O112),"$0","$3.700")</f>
        <v>$0</v>
      </c>
      <c r="M112" s="66">
        <v>3700.0</v>
      </c>
      <c r="N112" s="52" t="b">
        <v>0</v>
      </c>
      <c r="O112" s="89"/>
      <c r="P112" s="49">
        <v>0.0</v>
      </c>
      <c r="Q112" s="1"/>
      <c r="R112" s="1"/>
      <c r="S112" s="75" t="s">
        <v>109</v>
      </c>
      <c r="T112" s="50">
        <v>0.0</v>
      </c>
      <c r="U112" s="65" t="str">
        <f>IF(AND(X112=W112,W112=X112),"$0","$3.700")</f>
        <v>$0</v>
      </c>
      <c r="V112" s="66">
        <v>3700.0</v>
      </c>
      <c r="W112" s="52" t="b">
        <v>0</v>
      </c>
      <c r="X112" s="89"/>
      <c r="Y112" s="49">
        <v>0.0</v>
      </c>
      <c r="Z112" s="1"/>
      <c r="AA112" s="1"/>
    </row>
    <row r="113">
      <c r="A113" s="75" t="s">
        <v>109</v>
      </c>
      <c r="B113" s="50">
        <v>0.0</v>
      </c>
      <c r="C113" s="65" t="str">
        <f>IF(AND(F113=E113,E113=F113),"$0","$7.500")</f>
        <v>$0</v>
      </c>
      <c r="D113" s="66">
        <v>7500.0</v>
      </c>
      <c r="E113" s="52" t="b">
        <v>0</v>
      </c>
      <c r="F113" s="89"/>
      <c r="G113" s="49">
        <v>0.0</v>
      </c>
      <c r="H113" s="1"/>
      <c r="I113" s="1"/>
      <c r="J113" s="75" t="s">
        <v>109</v>
      </c>
      <c r="K113" s="50">
        <v>0.0</v>
      </c>
      <c r="L113" s="65" t="str">
        <f>IF(AND(O113=N113,N113=O113),"$0","$7.500")</f>
        <v>$0</v>
      </c>
      <c r="M113" s="66">
        <v>7500.0</v>
      </c>
      <c r="N113" s="52" t="b">
        <v>0</v>
      </c>
      <c r="O113" s="89"/>
      <c r="P113" s="49">
        <v>0.0</v>
      </c>
      <c r="Q113" s="1"/>
      <c r="R113" s="1"/>
      <c r="S113" s="75" t="s">
        <v>109</v>
      </c>
      <c r="T113" s="50">
        <v>0.0</v>
      </c>
      <c r="U113" s="65" t="str">
        <f>IF(AND(X113=W113,W113=X113),"$0","$7.500")</f>
        <v>$0</v>
      </c>
      <c r="V113" s="66">
        <v>7500.0</v>
      </c>
      <c r="W113" s="52" t="b">
        <v>0</v>
      </c>
      <c r="X113" s="89"/>
      <c r="Y113" s="49">
        <v>0.0</v>
      </c>
      <c r="Z113" s="1"/>
      <c r="AA113" s="1"/>
    </row>
    <row r="114">
      <c r="A114" s="75" t="s">
        <v>109</v>
      </c>
      <c r="B114" s="50">
        <v>0.0</v>
      </c>
      <c r="C114" s="65" t="str">
        <f>IF(AND(F114=E114,E114=F114),"$0","$15.000")</f>
        <v>$0</v>
      </c>
      <c r="D114" s="66">
        <v>19200.0</v>
      </c>
      <c r="E114" s="52" t="b">
        <v>0</v>
      </c>
      <c r="F114" s="89"/>
      <c r="G114" s="49">
        <v>0.0</v>
      </c>
      <c r="H114" s="1"/>
      <c r="I114" s="1"/>
      <c r="J114" s="75" t="s">
        <v>109</v>
      </c>
      <c r="K114" s="50">
        <v>0.0</v>
      </c>
      <c r="L114" s="65" t="str">
        <f>IF(AND(O114=N114,N114=O114),"$0","$15.000")</f>
        <v>$0</v>
      </c>
      <c r="M114" s="66">
        <v>19200.0</v>
      </c>
      <c r="N114" s="52" t="b">
        <v>0</v>
      </c>
      <c r="O114" s="89"/>
      <c r="P114" s="49">
        <v>0.0</v>
      </c>
      <c r="Q114" s="1"/>
      <c r="R114" s="1"/>
      <c r="S114" s="75" t="s">
        <v>109</v>
      </c>
      <c r="T114" s="50">
        <v>0.0</v>
      </c>
      <c r="U114" s="65" t="str">
        <f>IF(AND(X114=W114,W114=X114),"$0","$15.000")</f>
        <v>$0</v>
      </c>
      <c r="V114" s="66">
        <v>19200.0</v>
      </c>
      <c r="W114" s="52" t="b">
        <v>0</v>
      </c>
      <c r="X114" s="89"/>
      <c r="Y114" s="49">
        <v>0.0</v>
      </c>
      <c r="Z114" s="1"/>
      <c r="AA114" s="1"/>
    </row>
    <row r="115">
      <c r="A115" s="58" t="s">
        <v>110</v>
      </c>
      <c r="B115" s="50">
        <v>0.0</v>
      </c>
      <c r="C115" s="65" t="str">
        <f>IF(AND(F115=E115,E115=F115),"$0","$4.500")</f>
        <v>$0</v>
      </c>
      <c r="D115" s="66">
        <v>4500.0</v>
      </c>
      <c r="E115" s="52" t="b">
        <v>0</v>
      </c>
      <c r="F115" s="89"/>
      <c r="G115" s="49">
        <v>0.0</v>
      </c>
      <c r="H115" s="1"/>
      <c r="I115" s="1"/>
      <c r="J115" s="58" t="s">
        <v>110</v>
      </c>
      <c r="K115" s="50">
        <v>0.0</v>
      </c>
      <c r="L115" s="65" t="str">
        <f>IF(AND(O115=N115,N115=O115),"$0","$4.500")</f>
        <v>$0</v>
      </c>
      <c r="M115" s="66">
        <v>4500.0</v>
      </c>
      <c r="N115" s="52" t="b">
        <v>0</v>
      </c>
      <c r="O115" s="89"/>
      <c r="P115" s="49">
        <v>0.0</v>
      </c>
      <c r="Q115" s="1"/>
      <c r="R115" s="1"/>
      <c r="S115" s="58" t="s">
        <v>110</v>
      </c>
      <c r="T115" s="50">
        <v>0.0</v>
      </c>
      <c r="U115" s="65" t="str">
        <f>IF(AND(X115=W115,W115=X115),"$0","$4.500")</f>
        <v>$0</v>
      </c>
      <c r="V115" s="66">
        <v>4500.0</v>
      </c>
      <c r="W115" s="52" t="b">
        <v>0</v>
      </c>
      <c r="X115" s="89"/>
      <c r="Y115" s="49">
        <v>0.0</v>
      </c>
      <c r="Z115" s="1"/>
      <c r="AA115" s="1"/>
    </row>
    <row r="116">
      <c r="A116" s="90"/>
      <c r="B116" s="91" t="s">
        <v>111</v>
      </c>
      <c r="C116" s="92"/>
      <c r="D116" s="93">
        <f>SUM(D3:D115)</f>
        <v>1889970</v>
      </c>
      <c r="E116" s="94" t="b">
        <v>0</v>
      </c>
      <c r="F116" s="94" t="b">
        <v>0</v>
      </c>
      <c r="G116" s="93"/>
      <c r="H116" s="1"/>
      <c r="I116" s="1"/>
      <c r="J116" s="90"/>
      <c r="K116" s="91" t="s">
        <v>111</v>
      </c>
      <c r="L116" s="92"/>
      <c r="M116" s="93">
        <f>SUM(M3:M115)</f>
        <v>1889970</v>
      </c>
      <c r="N116" s="94" t="b">
        <v>0</v>
      </c>
      <c r="O116" s="94" t="b">
        <v>0</v>
      </c>
      <c r="P116" s="93"/>
      <c r="Q116" s="1"/>
      <c r="R116" s="1"/>
      <c r="S116" s="90"/>
      <c r="T116" s="91" t="s">
        <v>111</v>
      </c>
      <c r="U116" s="92"/>
      <c r="V116" s="93">
        <f>SUM(V3:V115)</f>
        <v>1878070</v>
      </c>
      <c r="W116" s="94" t="b">
        <v>0</v>
      </c>
      <c r="X116" s="94" t="b">
        <v>0</v>
      </c>
      <c r="Y116" s="93"/>
      <c r="Z116" s="1"/>
      <c r="AA116" s="1"/>
    </row>
    <row r="117">
      <c r="A117" s="58" t="s">
        <v>112</v>
      </c>
      <c r="B117" s="50">
        <v>0.0</v>
      </c>
      <c r="C117" s="50" t="str">
        <f>IF(AND(F117=E117,E117=F117),"$0","$19.000")</f>
        <v>$0</v>
      </c>
      <c r="D117" s="51">
        <v>60000.0</v>
      </c>
      <c r="E117" s="52" t="b">
        <v>0</v>
      </c>
      <c r="F117" s="53" t="b">
        <v>0</v>
      </c>
      <c r="G117" s="49">
        <v>0.0</v>
      </c>
      <c r="H117" s="1"/>
      <c r="I117" s="1"/>
      <c r="J117" s="58" t="s">
        <v>112</v>
      </c>
      <c r="K117" s="50">
        <v>0.0</v>
      </c>
      <c r="L117" s="50" t="str">
        <f>IF(AND(O117=N117,N117=O117),"$0","$19.000")</f>
        <v>$0</v>
      </c>
      <c r="M117" s="51">
        <v>60000.0</v>
      </c>
      <c r="N117" s="52" t="b">
        <v>0</v>
      </c>
      <c r="O117" s="53" t="b">
        <v>0</v>
      </c>
      <c r="P117" s="49">
        <v>0.0</v>
      </c>
      <c r="Q117" s="1"/>
      <c r="R117" s="1"/>
      <c r="S117" s="58" t="s">
        <v>112</v>
      </c>
      <c r="T117" s="50">
        <v>0.0</v>
      </c>
      <c r="U117" s="50" t="str">
        <f>IF(AND(X117=W117,W117=X117),"$0","$19.000")</f>
        <v>$0</v>
      </c>
      <c r="V117" s="51">
        <v>60000.0</v>
      </c>
      <c r="W117" s="52" t="b">
        <v>0</v>
      </c>
      <c r="X117" s="53" t="b">
        <v>0</v>
      </c>
      <c r="Y117" s="49">
        <v>0.0</v>
      </c>
      <c r="Z117" s="1"/>
      <c r="AA117" s="1"/>
    </row>
    <row r="118">
      <c r="A118" s="58" t="s">
        <v>113</v>
      </c>
      <c r="B118" s="50">
        <v>0.0</v>
      </c>
      <c r="C118" s="50" t="str">
        <f>IF(AND(F118=E118,E118=F118),"$0","$50.0000")</f>
        <v>$0</v>
      </c>
      <c r="D118" s="51">
        <v>50000.0</v>
      </c>
      <c r="E118" s="52" t="b">
        <v>0</v>
      </c>
      <c r="F118" s="53" t="b">
        <v>0</v>
      </c>
      <c r="G118" s="49">
        <v>0.0</v>
      </c>
      <c r="H118" s="1"/>
      <c r="I118" s="1"/>
      <c r="J118" s="58" t="s">
        <v>113</v>
      </c>
      <c r="K118" s="50">
        <v>0.0</v>
      </c>
      <c r="L118" s="50" t="str">
        <f>IF(AND(O118=N118,N118=O118),"$0","$50.0000")</f>
        <v>$0</v>
      </c>
      <c r="M118" s="51">
        <v>50000.0</v>
      </c>
      <c r="N118" s="52" t="b">
        <v>0</v>
      </c>
      <c r="O118" s="53" t="b">
        <v>0</v>
      </c>
      <c r="P118" s="49">
        <v>0.0</v>
      </c>
      <c r="Q118" s="1"/>
      <c r="R118" s="1"/>
      <c r="S118" s="58" t="s">
        <v>113</v>
      </c>
      <c r="T118" s="50">
        <v>0.0</v>
      </c>
      <c r="U118" s="50" t="str">
        <f>IF(AND(X118=W118,W118=X118),"$0","$50.0000")</f>
        <v>$0</v>
      </c>
      <c r="V118" s="51">
        <v>50000.0</v>
      </c>
      <c r="W118" s="52" t="b">
        <v>0</v>
      </c>
      <c r="X118" s="53" t="b">
        <v>0</v>
      </c>
      <c r="Y118" s="49">
        <v>0.0</v>
      </c>
      <c r="Z118" s="1"/>
      <c r="AA118" s="1"/>
    </row>
    <row r="119">
      <c r="A119" s="95" t="s">
        <v>114</v>
      </c>
      <c r="B119" s="96"/>
      <c r="C119" s="96"/>
      <c r="D119" s="96"/>
      <c r="E119" s="97"/>
      <c r="F119" s="96"/>
      <c r="G119" s="96"/>
      <c r="H119" s="1"/>
      <c r="I119" s="1"/>
      <c r="J119" s="95" t="s">
        <v>114</v>
      </c>
      <c r="K119" s="96"/>
      <c r="L119" s="96"/>
      <c r="M119" s="96"/>
      <c r="N119" s="97"/>
      <c r="O119" s="96"/>
      <c r="P119" s="96"/>
      <c r="Q119" s="1"/>
      <c r="R119" s="1"/>
      <c r="S119" s="95" t="s">
        <v>114</v>
      </c>
      <c r="T119" s="96"/>
      <c r="U119" s="96"/>
      <c r="V119" s="96"/>
      <c r="W119" s="97"/>
      <c r="X119" s="96"/>
      <c r="Y119" s="96"/>
      <c r="Z119" s="1"/>
      <c r="AA119" s="1"/>
    </row>
    <row r="120">
      <c r="A120" s="48" t="s">
        <v>115</v>
      </c>
      <c r="B120" s="50">
        <v>0.0</v>
      </c>
      <c r="C120" s="50" t="str">
        <f>IF(AND(F120=E120,E120=F120),"$0","$4.300")</f>
        <v>$0</v>
      </c>
      <c r="D120" s="51">
        <v>4300.0</v>
      </c>
      <c r="E120" s="52" t="b">
        <v>0</v>
      </c>
      <c r="F120" s="53" t="b">
        <v>0</v>
      </c>
      <c r="G120" s="49">
        <v>0.0</v>
      </c>
      <c r="H120" s="1"/>
      <c r="I120" s="1"/>
      <c r="J120" s="48" t="s">
        <v>115</v>
      </c>
      <c r="K120" s="50">
        <v>0.0</v>
      </c>
      <c r="L120" s="50" t="str">
        <f>IF(AND(O120=N120,N120=O120),"$0","$4.300")</f>
        <v>$0</v>
      </c>
      <c r="M120" s="51">
        <v>4300.0</v>
      </c>
      <c r="N120" s="52" t="b">
        <v>0</v>
      </c>
      <c r="O120" s="53" t="b">
        <v>0</v>
      </c>
      <c r="P120" s="49">
        <v>0.0</v>
      </c>
      <c r="Q120" s="1"/>
      <c r="R120" s="1"/>
      <c r="S120" s="48" t="s">
        <v>115</v>
      </c>
      <c r="T120" s="50">
        <v>0.0</v>
      </c>
      <c r="U120" s="50" t="str">
        <f>IF(AND(X120=W120,W120=X120),"$0","$4.300")</f>
        <v>$0</v>
      </c>
      <c r="V120" s="51">
        <v>4300.0</v>
      </c>
      <c r="W120" s="52" t="b">
        <v>0</v>
      </c>
      <c r="X120" s="53" t="b">
        <v>0</v>
      </c>
      <c r="Y120" s="49">
        <v>0.0</v>
      </c>
      <c r="Z120" s="1"/>
      <c r="AA120" s="1"/>
    </row>
    <row r="121">
      <c r="A121" s="48" t="s">
        <v>116</v>
      </c>
      <c r="B121" s="50">
        <v>0.0</v>
      </c>
      <c r="C121" s="50" t="str">
        <f>IF(AND(F121=E121,E121=F121),"$0","$6.600")</f>
        <v>$0</v>
      </c>
      <c r="D121" s="51">
        <v>6600.0</v>
      </c>
      <c r="E121" s="52" t="b">
        <v>0</v>
      </c>
      <c r="F121" s="53" t="b">
        <v>0</v>
      </c>
      <c r="G121" s="49">
        <v>0.0</v>
      </c>
      <c r="H121" s="1"/>
      <c r="I121" s="1"/>
      <c r="J121" s="48" t="s">
        <v>116</v>
      </c>
      <c r="K121" s="50">
        <v>0.0</v>
      </c>
      <c r="L121" s="50" t="str">
        <f>IF(AND(O121=N121,N121=O121),"$0","$6.600")</f>
        <v>$0</v>
      </c>
      <c r="M121" s="51">
        <v>6600.0</v>
      </c>
      <c r="N121" s="52" t="b">
        <v>0</v>
      </c>
      <c r="O121" s="53" t="b">
        <v>0</v>
      </c>
      <c r="P121" s="49">
        <v>0.0</v>
      </c>
      <c r="Q121" s="1"/>
      <c r="R121" s="1"/>
      <c r="S121" s="48" t="s">
        <v>116</v>
      </c>
      <c r="T121" s="50">
        <v>0.0</v>
      </c>
      <c r="U121" s="50" t="str">
        <f>IF(AND(X121=W121,W121=X121),"$0","$6.600")</f>
        <v>$0</v>
      </c>
      <c r="V121" s="51">
        <v>6600.0</v>
      </c>
      <c r="W121" s="52" t="b">
        <v>0</v>
      </c>
      <c r="X121" s="53" t="b">
        <v>0</v>
      </c>
      <c r="Y121" s="49">
        <v>0.0</v>
      </c>
      <c r="Z121" s="1"/>
      <c r="AA121" s="1"/>
    </row>
    <row r="122">
      <c r="A122" s="68" t="s">
        <v>117</v>
      </c>
      <c r="B122" s="50">
        <v>0.0</v>
      </c>
      <c r="C122" s="64" t="str">
        <f>IF(AND(F122=E122,E122=F122),"$0","$9.3000")</f>
        <v>$0</v>
      </c>
      <c r="D122" s="51">
        <v>9300.0</v>
      </c>
      <c r="E122" s="52" t="b">
        <v>0</v>
      </c>
      <c r="F122" s="53" t="b">
        <v>0</v>
      </c>
      <c r="G122" s="49">
        <v>0.0</v>
      </c>
      <c r="H122" s="1"/>
      <c r="I122" s="1"/>
      <c r="J122" s="68" t="s">
        <v>117</v>
      </c>
      <c r="K122" s="50">
        <v>0.0</v>
      </c>
      <c r="L122" s="64" t="str">
        <f>IF(AND(O122=N122,N122=O122),"$0","$9.3000")</f>
        <v>$0</v>
      </c>
      <c r="M122" s="51">
        <v>9300.0</v>
      </c>
      <c r="N122" s="52" t="b">
        <v>0</v>
      </c>
      <c r="O122" s="53" t="b">
        <v>0</v>
      </c>
      <c r="P122" s="49">
        <v>0.0</v>
      </c>
      <c r="Q122" s="1"/>
      <c r="R122" s="1"/>
      <c r="S122" s="68" t="s">
        <v>117</v>
      </c>
      <c r="T122" s="50">
        <v>0.0</v>
      </c>
      <c r="U122" s="64" t="str">
        <f>IF(AND(X122=W122,W122=X122),"$0","$9.3000")</f>
        <v>$0</v>
      </c>
      <c r="V122" s="51">
        <v>9300.0</v>
      </c>
      <c r="W122" s="52" t="b">
        <v>0</v>
      </c>
      <c r="X122" s="53" t="b">
        <v>0</v>
      </c>
      <c r="Y122" s="49">
        <v>0.0</v>
      </c>
      <c r="Z122" s="1"/>
      <c r="AA122" s="1"/>
    </row>
    <row r="123">
      <c r="A123" s="48" t="s">
        <v>118</v>
      </c>
      <c r="B123" s="50">
        <v>0.0</v>
      </c>
      <c r="C123" s="65" t="str">
        <f>IF(AND(F123=E123,E123=F123),"$0","$5.300")</f>
        <v>$0</v>
      </c>
      <c r="D123" s="66">
        <v>5300.0</v>
      </c>
      <c r="E123" s="52" t="b">
        <v>0</v>
      </c>
      <c r="F123" s="53" t="b">
        <v>0</v>
      </c>
      <c r="G123" s="49">
        <v>0.0</v>
      </c>
      <c r="H123" s="1"/>
      <c r="I123" s="1"/>
      <c r="J123" s="48" t="s">
        <v>118</v>
      </c>
      <c r="K123" s="50">
        <v>0.0</v>
      </c>
      <c r="L123" s="65" t="str">
        <f>IF(AND(O123=N123,N123=O123),"$0","$5.300")</f>
        <v>$0</v>
      </c>
      <c r="M123" s="66">
        <v>5300.0</v>
      </c>
      <c r="N123" s="52" t="b">
        <v>0</v>
      </c>
      <c r="O123" s="53" t="b">
        <v>0</v>
      </c>
      <c r="P123" s="49">
        <v>0.0</v>
      </c>
      <c r="Q123" s="1"/>
      <c r="R123" s="1"/>
      <c r="S123" s="48" t="s">
        <v>118</v>
      </c>
      <c r="T123" s="50">
        <v>0.0</v>
      </c>
      <c r="U123" s="65" t="str">
        <f>IF(AND(X123=W123,W123=X123),"$0","$5.300")</f>
        <v>$0</v>
      </c>
      <c r="V123" s="66">
        <v>5300.0</v>
      </c>
      <c r="W123" s="52" t="b">
        <v>0</v>
      </c>
      <c r="X123" s="53" t="b">
        <v>0</v>
      </c>
      <c r="Y123" s="49">
        <v>0.0</v>
      </c>
      <c r="Z123" s="1"/>
      <c r="AA123" s="1"/>
    </row>
    <row r="124">
      <c r="A124" s="98" t="s">
        <v>119</v>
      </c>
      <c r="B124" s="99"/>
      <c r="C124" s="99"/>
      <c r="D124" s="99"/>
      <c r="E124" s="99"/>
      <c r="F124" s="99"/>
      <c r="G124" s="99"/>
      <c r="H124" s="1"/>
      <c r="I124" s="1"/>
      <c r="J124" s="98" t="s">
        <v>119</v>
      </c>
      <c r="K124" s="99"/>
      <c r="L124" s="99"/>
      <c r="M124" s="99"/>
      <c r="N124" s="99"/>
      <c r="O124" s="99"/>
      <c r="P124" s="99"/>
      <c r="Q124" s="1"/>
      <c r="R124" s="1"/>
      <c r="S124" s="98" t="s">
        <v>119</v>
      </c>
      <c r="T124" s="99"/>
      <c r="U124" s="99"/>
      <c r="V124" s="99"/>
      <c r="W124" s="99"/>
      <c r="X124" s="99"/>
      <c r="Y124" s="99"/>
      <c r="Z124" s="1"/>
      <c r="AA124" s="1"/>
    </row>
    <row r="125">
      <c r="A125" s="100" t="s">
        <v>120</v>
      </c>
      <c r="B125" s="65">
        <v>25600.0</v>
      </c>
      <c r="C125" s="99"/>
      <c r="D125" s="99"/>
      <c r="E125" s="99"/>
      <c r="F125" s="99"/>
      <c r="G125" s="99"/>
      <c r="H125" s="1"/>
      <c r="I125" s="1"/>
      <c r="J125" s="100" t="s">
        <v>120</v>
      </c>
      <c r="K125" s="65">
        <v>25600.0</v>
      </c>
      <c r="L125" s="99"/>
      <c r="M125" s="99"/>
      <c r="N125" s="99"/>
      <c r="O125" s="99"/>
      <c r="P125" s="99"/>
      <c r="Q125" s="1"/>
      <c r="R125" s="1"/>
      <c r="S125" s="100" t="s">
        <v>120</v>
      </c>
      <c r="T125" s="65">
        <v>25600.0</v>
      </c>
      <c r="U125" s="99"/>
      <c r="V125" s="99"/>
      <c r="W125" s="99"/>
      <c r="X125" s="99"/>
      <c r="Y125" s="99"/>
      <c r="Z125" s="1"/>
      <c r="AA125" s="1"/>
    </row>
    <row r="126">
      <c r="A126" s="101" t="s">
        <v>120</v>
      </c>
      <c r="B126" s="64">
        <v>15000.0</v>
      </c>
      <c r="C126" s="63"/>
      <c r="D126" s="63"/>
      <c r="E126" s="102"/>
      <c r="F126" s="103"/>
      <c r="G126" s="63"/>
      <c r="H126" s="1"/>
      <c r="I126" s="1"/>
      <c r="J126" s="101" t="s">
        <v>120</v>
      </c>
      <c r="K126" s="64">
        <v>15000.0</v>
      </c>
      <c r="L126" s="63"/>
      <c r="M126" s="63"/>
      <c r="N126" s="102"/>
      <c r="O126" s="103"/>
      <c r="P126" s="63"/>
      <c r="Q126" s="1"/>
      <c r="R126" s="1"/>
      <c r="S126" s="101" t="s">
        <v>120</v>
      </c>
      <c r="T126" s="64">
        <v>15000.0</v>
      </c>
      <c r="U126" s="63"/>
      <c r="V126" s="63"/>
      <c r="W126" s="102"/>
      <c r="X126" s="103"/>
      <c r="Y126" s="63"/>
      <c r="Z126" s="1"/>
      <c r="AA126" s="1"/>
    </row>
    <row r="127">
      <c r="A127" s="104" t="s">
        <v>121</v>
      </c>
      <c r="B127" s="105">
        <v>13300.0</v>
      </c>
      <c r="C127" s="63"/>
      <c r="D127" s="63"/>
      <c r="E127" s="102"/>
      <c r="F127" s="103"/>
      <c r="G127" s="63"/>
      <c r="H127" s="1"/>
      <c r="I127" s="1"/>
      <c r="J127" s="104" t="s">
        <v>121</v>
      </c>
      <c r="K127" s="105">
        <v>13300.0</v>
      </c>
      <c r="L127" s="63"/>
      <c r="M127" s="63"/>
      <c r="N127" s="102"/>
      <c r="O127" s="103"/>
      <c r="P127" s="63"/>
      <c r="Q127" s="1"/>
      <c r="R127" s="1"/>
      <c r="S127" s="104" t="s">
        <v>121</v>
      </c>
      <c r="T127" s="105">
        <v>13300.0</v>
      </c>
      <c r="U127" s="63"/>
      <c r="V127" s="63"/>
      <c r="W127" s="102"/>
      <c r="X127" s="103"/>
      <c r="Y127" s="63"/>
      <c r="Z127" s="1"/>
      <c r="AA127" s="1"/>
    </row>
    <row r="128">
      <c r="A128" s="101" t="s">
        <v>122</v>
      </c>
      <c r="B128" s="64">
        <v>55500.0</v>
      </c>
      <c r="C128" s="63"/>
      <c r="D128" s="63"/>
      <c r="E128" s="103"/>
      <c r="F128" s="99"/>
      <c r="G128" s="63"/>
      <c r="H128" s="1"/>
      <c r="I128" s="1"/>
      <c r="J128" s="101" t="s">
        <v>122</v>
      </c>
      <c r="K128" s="64">
        <v>55500.0</v>
      </c>
      <c r="L128" s="63"/>
      <c r="M128" s="63"/>
      <c r="N128" s="103"/>
      <c r="O128" s="99"/>
      <c r="P128" s="63"/>
      <c r="Q128" s="1"/>
      <c r="R128" s="1"/>
      <c r="S128" s="101" t="s">
        <v>122</v>
      </c>
      <c r="T128" s="64">
        <v>55500.0</v>
      </c>
      <c r="U128" s="63"/>
      <c r="V128" s="63"/>
      <c r="W128" s="103"/>
      <c r="X128" s="99"/>
      <c r="Y128" s="63"/>
      <c r="Z128" s="1"/>
      <c r="AA128" s="1"/>
    </row>
    <row r="129">
      <c r="A129" s="104" t="s">
        <v>121</v>
      </c>
      <c r="B129" s="105">
        <v>13300.0</v>
      </c>
      <c r="C129" s="63"/>
      <c r="D129" s="63"/>
      <c r="E129" s="102"/>
      <c r="F129" s="103"/>
      <c r="G129" s="63"/>
      <c r="H129" s="1"/>
      <c r="I129" s="1"/>
      <c r="J129" s="104" t="s">
        <v>121</v>
      </c>
      <c r="K129" s="105">
        <v>13300.0</v>
      </c>
      <c r="L129" s="63"/>
      <c r="M129" s="63"/>
      <c r="N129" s="102"/>
      <c r="O129" s="103"/>
      <c r="P129" s="63"/>
      <c r="Q129" s="1"/>
      <c r="R129" s="1"/>
      <c r="S129" s="104" t="s">
        <v>121</v>
      </c>
      <c r="T129" s="105">
        <v>13300.0</v>
      </c>
      <c r="U129" s="63"/>
      <c r="V129" s="63"/>
      <c r="W129" s="102"/>
      <c r="X129" s="103"/>
      <c r="Y129" s="63"/>
      <c r="Z129" s="1"/>
      <c r="AA129" s="1"/>
    </row>
    <row r="130">
      <c r="A130" s="101" t="s">
        <v>122</v>
      </c>
      <c r="B130" s="64">
        <v>55500.0</v>
      </c>
      <c r="C130" s="63"/>
      <c r="D130" s="63"/>
      <c r="E130" s="103"/>
      <c r="F130" s="99"/>
      <c r="G130" s="63"/>
      <c r="H130" s="1"/>
      <c r="I130" s="1"/>
      <c r="J130" s="101" t="s">
        <v>122</v>
      </c>
      <c r="K130" s="64">
        <v>55500.0</v>
      </c>
      <c r="L130" s="63"/>
      <c r="M130" s="63"/>
      <c r="N130" s="103"/>
      <c r="O130" s="99"/>
      <c r="P130" s="63"/>
      <c r="Q130" s="1"/>
      <c r="R130" s="1"/>
      <c r="S130" s="101" t="s">
        <v>122</v>
      </c>
      <c r="T130" s="64">
        <v>55500.0</v>
      </c>
      <c r="U130" s="63"/>
      <c r="V130" s="63"/>
      <c r="W130" s="103"/>
      <c r="X130" s="99"/>
      <c r="Y130" s="63"/>
      <c r="Z130" s="1"/>
      <c r="AA130" s="1"/>
    </row>
    <row r="131">
      <c r="A131" s="106" t="s">
        <v>123</v>
      </c>
      <c r="B131" s="64"/>
      <c r="C131" s="1"/>
      <c r="D131" s="1"/>
      <c r="E131" s="1"/>
      <c r="F131" s="1"/>
      <c r="G131" s="1"/>
      <c r="H131" s="1"/>
      <c r="I131" s="1"/>
      <c r="J131" s="106" t="s">
        <v>123</v>
      </c>
      <c r="K131" s="64"/>
      <c r="L131" s="1"/>
      <c r="M131" s="1"/>
      <c r="N131" s="1"/>
      <c r="O131" s="1"/>
      <c r="P131" s="1"/>
      <c r="Q131" s="1"/>
      <c r="R131" s="1"/>
      <c r="S131" s="106" t="s">
        <v>123</v>
      </c>
      <c r="T131" s="64"/>
      <c r="U131" s="1"/>
      <c r="V131" s="1"/>
      <c r="W131" s="1"/>
      <c r="X131" s="1"/>
      <c r="Y131" s="1"/>
      <c r="Z131" s="1"/>
      <c r="AA131" s="1"/>
    </row>
    <row r="132">
      <c r="A132" s="106" t="s">
        <v>124</v>
      </c>
      <c r="B132" s="64"/>
      <c r="C132" s="1"/>
      <c r="D132" s="1"/>
      <c r="E132" s="1"/>
      <c r="F132" s="1"/>
      <c r="G132" s="1"/>
      <c r="H132" s="1"/>
      <c r="I132" s="1"/>
      <c r="J132" s="106" t="s">
        <v>124</v>
      </c>
      <c r="K132" s="64"/>
      <c r="L132" s="1"/>
      <c r="M132" s="1"/>
      <c r="N132" s="1"/>
      <c r="O132" s="1"/>
      <c r="P132" s="1"/>
      <c r="Q132" s="1"/>
      <c r="R132" s="1"/>
      <c r="S132" s="106" t="s">
        <v>124</v>
      </c>
      <c r="T132" s="64"/>
      <c r="U132" s="1"/>
      <c r="V132" s="1"/>
      <c r="W132" s="1"/>
      <c r="X132" s="1"/>
      <c r="Y132" s="1"/>
      <c r="Z132" s="1"/>
      <c r="AA132" s="1"/>
    </row>
    <row r="133">
      <c r="A133" s="106" t="s">
        <v>125</v>
      </c>
      <c r="B133" s="1"/>
      <c r="C133" s="1"/>
      <c r="D133" s="1"/>
      <c r="E133" s="1"/>
      <c r="F133" s="1"/>
      <c r="G133" s="1"/>
      <c r="H133" s="1"/>
      <c r="I133" s="1"/>
      <c r="J133" s="106" t="s">
        <v>125</v>
      </c>
      <c r="K133" s="1"/>
      <c r="L133" s="1"/>
      <c r="M133" s="1"/>
      <c r="N133" s="1"/>
      <c r="O133" s="1"/>
      <c r="P133" s="1"/>
      <c r="Q133" s="1"/>
      <c r="R133" s="1"/>
      <c r="S133" s="106" t="s">
        <v>125</v>
      </c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2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2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2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2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2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2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2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2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2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2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2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2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2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2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2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2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2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2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2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D153" s="4"/>
      <c r="H153" s="1"/>
      <c r="I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D154" s="4"/>
      <c r="H154" s="1"/>
      <c r="I154" s="1"/>
      <c r="Q154" s="1"/>
      <c r="R154" s="1"/>
      <c r="T154" s="1"/>
      <c r="U154" s="125"/>
      <c r="V154" s="111"/>
      <c r="W154" s="112"/>
      <c r="X154" s="113"/>
      <c r="Y154" s="1"/>
      <c r="Z154" s="1"/>
      <c r="AA154" s="1"/>
    </row>
    <row r="155">
      <c r="D155" s="4"/>
      <c r="H155" s="1"/>
      <c r="I155" s="1"/>
      <c r="Q155" s="1"/>
      <c r="R155" s="1"/>
      <c r="T155" s="1"/>
      <c r="U155" s="125"/>
      <c r="V155" s="111"/>
      <c r="W155" s="112"/>
      <c r="X155" s="113"/>
      <c r="Y155" s="1"/>
      <c r="Z155" s="1"/>
      <c r="AA155" s="1"/>
    </row>
    <row r="156">
      <c r="D156" s="4"/>
      <c r="H156" s="1"/>
      <c r="I156" s="1"/>
      <c r="Q156" s="1"/>
      <c r="R156" s="1"/>
      <c r="T156" s="1"/>
      <c r="U156" s="125"/>
      <c r="V156" s="111"/>
      <c r="W156" s="112"/>
      <c r="X156" s="113"/>
      <c r="Y156" s="1"/>
      <c r="Z156" s="1"/>
      <c r="AA156" s="1"/>
    </row>
    <row r="157">
      <c r="D157" s="4"/>
      <c r="H157" s="1"/>
      <c r="I157" s="1"/>
      <c r="Q157" s="1"/>
      <c r="R157" s="1"/>
      <c r="T157" s="1"/>
      <c r="U157" s="125"/>
      <c r="V157" s="111"/>
      <c r="W157" s="112"/>
      <c r="X157" s="113"/>
      <c r="Y157" s="1"/>
      <c r="Z157" s="1"/>
      <c r="AA157" s="1"/>
    </row>
    <row r="158">
      <c r="D158" s="4"/>
      <c r="H158" s="1"/>
      <c r="I158" s="1"/>
      <c r="Q158" s="1"/>
      <c r="R158" s="1"/>
      <c r="T158" s="1"/>
      <c r="U158" s="125"/>
      <c r="V158" s="111"/>
      <c r="W158" s="112"/>
      <c r="X158" s="113"/>
      <c r="Y158" s="1"/>
      <c r="Z158" s="1"/>
      <c r="AA158" s="1"/>
    </row>
    <row r="159">
      <c r="D159" s="4"/>
      <c r="H159" s="1"/>
      <c r="I159" s="1"/>
      <c r="Q159" s="1"/>
      <c r="R159" s="1"/>
      <c r="T159" s="1"/>
      <c r="U159" s="125"/>
      <c r="V159" s="111"/>
      <c r="W159" s="112"/>
      <c r="X159" s="113"/>
      <c r="Y159" s="1"/>
      <c r="Z159" s="1"/>
      <c r="AA159" s="1"/>
    </row>
    <row r="160">
      <c r="D160" s="4"/>
      <c r="H160" s="1"/>
      <c r="I160" s="1"/>
      <c r="Q160" s="1"/>
      <c r="R160" s="1"/>
      <c r="T160" s="1"/>
      <c r="U160" s="125"/>
      <c r="V160" s="111"/>
      <c r="W160" s="112"/>
      <c r="X160" s="113"/>
      <c r="Y160" s="1"/>
      <c r="Z160" s="1"/>
      <c r="AA160" s="1"/>
    </row>
    <row r="161">
      <c r="D161" s="4"/>
      <c r="H161" s="1"/>
      <c r="I161" s="1"/>
      <c r="Q161" s="1"/>
      <c r="R161" s="1"/>
      <c r="T161" s="1"/>
      <c r="U161" s="125"/>
      <c r="V161" s="111"/>
      <c r="W161" s="112"/>
      <c r="X161" s="113"/>
      <c r="Y161" s="1"/>
      <c r="Z161" s="1"/>
      <c r="AA161" s="1"/>
    </row>
    <row r="162">
      <c r="D162" s="4"/>
      <c r="H162" s="1"/>
      <c r="I162" s="1"/>
      <c r="Q162" s="1"/>
      <c r="R162" s="1"/>
      <c r="T162" s="1"/>
      <c r="U162" s="125"/>
      <c r="V162" s="111"/>
      <c r="W162" s="112"/>
      <c r="X162" s="113"/>
      <c r="Y162" s="1"/>
      <c r="Z162" s="1"/>
      <c r="AA162" s="1"/>
    </row>
    <row r="163">
      <c r="D163" s="4"/>
      <c r="H163" s="1"/>
      <c r="I163" s="1"/>
      <c r="Q163" s="1"/>
      <c r="R163" s="1"/>
      <c r="T163" s="1"/>
      <c r="U163" s="125"/>
      <c r="V163" s="111"/>
      <c r="W163" s="112"/>
      <c r="X163" s="113"/>
      <c r="Y163" s="1"/>
      <c r="Z163" s="1"/>
      <c r="AA163" s="1"/>
    </row>
    <row r="164">
      <c r="D164" s="4"/>
      <c r="H164" s="1"/>
      <c r="I164" s="1"/>
      <c r="Q164" s="1"/>
      <c r="R164" s="1"/>
      <c r="T164" s="1"/>
      <c r="U164" s="125"/>
      <c r="V164" s="111"/>
      <c r="W164" s="112"/>
      <c r="X164" s="113"/>
      <c r="Y164" s="1"/>
      <c r="Z164" s="1"/>
      <c r="AA164" s="1"/>
    </row>
    <row r="165">
      <c r="D165" s="4"/>
      <c r="H165" s="1"/>
      <c r="I165" s="1"/>
      <c r="Q165" s="1"/>
      <c r="R165" s="1"/>
      <c r="T165" s="1"/>
      <c r="U165" s="125"/>
      <c r="V165" s="111"/>
      <c r="W165" s="112"/>
      <c r="X165" s="113"/>
      <c r="Y165" s="1"/>
      <c r="Z165" s="1"/>
      <c r="AA165" s="1"/>
    </row>
    <row r="166">
      <c r="D166" s="4"/>
      <c r="H166" s="1"/>
      <c r="I166" s="1"/>
      <c r="Q166" s="1"/>
      <c r="R166" s="1"/>
      <c r="T166" s="1"/>
      <c r="U166" s="125"/>
      <c r="V166" s="111"/>
      <c r="W166" s="112"/>
      <c r="X166" s="113"/>
      <c r="Y166" s="1"/>
      <c r="Z166" s="1"/>
      <c r="AA166" s="1"/>
    </row>
    <row r="167">
      <c r="D167" s="4"/>
      <c r="H167" s="1"/>
      <c r="I167" s="1"/>
      <c r="Q167" s="1"/>
      <c r="R167" s="1"/>
      <c r="T167" s="1"/>
      <c r="U167" s="125"/>
      <c r="V167" s="111"/>
      <c r="W167" s="112"/>
      <c r="X167" s="113"/>
      <c r="Y167" s="1"/>
      <c r="Z167" s="1"/>
      <c r="AA167" s="1"/>
    </row>
    <row r="168">
      <c r="D168" s="4"/>
      <c r="H168" s="1"/>
      <c r="I168" s="1"/>
      <c r="Q168" s="1"/>
      <c r="R168" s="1"/>
      <c r="T168" s="1"/>
      <c r="U168" s="125"/>
      <c r="V168" s="111"/>
      <c r="W168" s="112"/>
      <c r="X168" s="113"/>
      <c r="Y168" s="1"/>
      <c r="Z168" s="1"/>
      <c r="AA168" s="1"/>
    </row>
    <row r="169">
      <c r="D169" s="4"/>
      <c r="H169" s="1"/>
      <c r="I169" s="1"/>
      <c r="Q169" s="1"/>
      <c r="R169" s="1"/>
      <c r="T169" s="1"/>
      <c r="U169" s="125"/>
      <c r="V169" s="111"/>
      <c r="W169" s="112"/>
      <c r="X169" s="113"/>
      <c r="Y169" s="1"/>
      <c r="Z169" s="1"/>
      <c r="AA169" s="1"/>
    </row>
    <row r="170">
      <c r="D170" s="4"/>
      <c r="H170" s="1"/>
      <c r="I170" s="1"/>
      <c r="Q170" s="1"/>
      <c r="R170" s="1"/>
      <c r="T170" s="1"/>
      <c r="U170" s="125"/>
      <c r="V170" s="111"/>
      <c r="W170" s="112"/>
      <c r="X170" s="113"/>
      <c r="Y170" s="1"/>
      <c r="Z170" s="1"/>
      <c r="AA170" s="1"/>
    </row>
    <row r="171">
      <c r="D171" s="4"/>
      <c r="H171" s="1"/>
      <c r="I171" s="1"/>
      <c r="Q171" s="1"/>
      <c r="R171" s="1"/>
      <c r="T171" s="1"/>
      <c r="U171" s="125"/>
      <c r="V171" s="111"/>
      <c r="W171" s="112"/>
      <c r="X171" s="113"/>
      <c r="Y171" s="1"/>
      <c r="Z171" s="1"/>
      <c r="AA171" s="1"/>
    </row>
    <row r="172">
      <c r="D172" s="4"/>
      <c r="H172" s="1"/>
      <c r="I172" s="1"/>
      <c r="Q172" s="1"/>
      <c r="R172" s="1"/>
      <c r="T172" s="1"/>
      <c r="U172" s="125"/>
      <c r="V172" s="111"/>
      <c r="W172" s="112"/>
      <c r="X172" s="113"/>
      <c r="Y172" s="1"/>
      <c r="Z172" s="1"/>
      <c r="AA172" s="1"/>
    </row>
    <row r="173">
      <c r="D173" s="4"/>
      <c r="H173" s="1"/>
      <c r="I173" s="1"/>
      <c r="Q173" s="1"/>
      <c r="R173" s="1"/>
      <c r="T173" s="1"/>
      <c r="U173" s="125"/>
      <c r="V173" s="111"/>
      <c r="W173" s="112"/>
      <c r="X173" s="113"/>
      <c r="Y173" s="1"/>
      <c r="Z173" s="1"/>
      <c r="AA173" s="1"/>
    </row>
    <row r="174">
      <c r="D174" s="4"/>
      <c r="H174" s="1"/>
      <c r="I174" s="1"/>
      <c r="Q174" s="1"/>
      <c r="R174" s="1"/>
      <c r="T174" s="1"/>
      <c r="U174" s="125"/>
      <c r="V174" s="111"/>
      <c r="W174" s="112"/>
      <c r="X174" s="113"/>
      <c r="Y174" s="1"/>
      <c r="Z174" s="1"/>
      <c r="AA174" s="1"/>
    </row>
    <row r="175">
      <c r="D175" s="4"/>
      <c r="H175" s="1"/>
      <c r="I175" s="1"/>
      <c r="Q175" s="1"/>
      <c r="R175" s="1"/>
      <c r="T175" s="1"/>
      <c r="U175" s="125"/>
      <c r="V175" s="111"/>
      <c r="W175" s="112"/>
      <c r="X175" s="113"/>
      <c r="Y175" s="1"/>
      <c r="Z175" s="1"/>
      <c r="AA175" s="1"/>
    </row>
    <row r="176">
      <c r="D176" s="4"/>
      <c r="H176" s="1"/>
      <c r="I176" s="1"/>
      <c r="Q176" s="1"/>
      <c r="R176" s="1"/>
      <c r="T176" s="1"/>
      <c r="U176" s="125"/>
      <c r="V176" s="111"/>
      <c r="W176" s="112"/>
      <c r="X176" s="113"/>
      <c r="Y176" s="1"/>
      <c r="Z176" s="1"/>
      <c r="AA176" s="1"/>
    </row>
    <row r="177">
      <c r="D177" s="4"/>
      <c r="H177" s="1"/>
      <c r="I177" s="1"/>
      <c r="Q177" s="1"/>
      <c r="R177" s="1"/>
      <c r="T177" s="1"/>
      <c r="U177" s="125"/>
      <c r="V177" s="111"/>
      <c r="W177" s="112"/>
      <c r="X177" s="113"/>
      <c r="Y177" s="1"/>
      <c r="Z177" s="1"/>
      <c r="AA177" s="1"/>
    </row>
    <row r="178">
      <c r="D178" s="4"/>
      <c r="H178" s="1"/>
      <c r="I178" s="1"/>
      <c r="Q178" s="1"/>
      <c r="R178" s="1"/>
      <c r="T178" s="1"/>
      <c r="U178" s="125"/>
      <c r="V178" s="111"/>
      <c r="W178" s="112"/>
      <c r="X178" s="113"/>
      <c r="Y178" s="1"/>
      <c r="Z178" s="1"/>
      <c r="AA178" s="1"/>
    </row>
    <row r="179">
      <c r="D179" s="4"/>
      <c r="H179" s="1"/>
      <c r="I179" s="1"/>
      <c r="Q179" s="1"/>
      <c r="R179" s="1"/>
      <c r="T179" s="1"/>
      <c r="U179" s="125"/>
      <c r="V179" s="111"/>
      <c r="W179" s="112"/>
      <c r="X179" s="113"/>
      <c r="Y179" s="1"/>
      <c r="Z179" s="1"/>
      <c r="AA179" s="1"/>
    </row>
    <row r="180">
      <c r="D180" s="4"/>
      <c r="H180" s="1"/>
      <c r="I180" s="1"/>
      <c r="Q180" s="1"/>
      <c r="R180" s="1"/>
      <c r="T180" s="1"/>
      <c r="U180" s="125"/>
      <c r="V180" s="111"/>
      <c r="W180" s="112"/>
      <c r="X180" s="113"/>
      <c r="Y180" s="1"/>
      <c r="Z180" s="1"/>
      <c r="AA180" s="1"/>
    </row>
    <row r="181">
      <c r="D181" s="4"/>
      <c r="H181" s="1"/>
      <c r="I181" s="1"/>
      <c r="Q181" s="1"/>
      <c r="R181" s="1"/>
      <c r="T181" s="1"/>
      <c r="U181" s="125"/>
      <c r="V181" s="111"/>
      <c r="W181" s="112"/>
      <c r="X181" s="113"/>
      <c r="Y181" s="1"/>
      <c r="Z181" s="1"/>
      <c r="AA181" s="1"/>
    </row>
    <row r="182">
      <c r="D182" s="4"/>
      <c r="H182" s="1"/>
      <c r="I182" s="1"/>
      <c r="Q182" s="1"/>
      <c r="R182" s="1"/>
      <c r="T182" s="1"/>
      <c r="U182" s="125"/>
      <c r="V182" s="111"/>
      <c r="W182" s="112"/>
      <c r="X182" s="113"/>
      <c r="Y182" s="1"/>
      <c r="Z182" s="1"/>
      <c r="AA182" s="1"/>
    </row>
    <row r="183">
      <c r="D183" s="4"/>
      <c r="H183" s="1"/>
      <c r="I183" s="1"/>
      <c r="Q183" s="1"/>
      <c r="R183" s="1"/>
      <c r="T183" s="1"/>
      <c r="U183" s="125"/>
      <c r="V183" s="111"/>
      <c r="W183" s="112"/>
      <c r="X183" s="113"/>
      <c r="Y183" s="1"/>
      <c r="Z183" s="1"/>
      <c r="AA183" s="1"/>
    </row>
    <row r="184">
      <c r="D184" s="4"/>
      <c r="H184" s="1"/>
      <c r="I184" s="1"/>
      <c r="Q184" s="1"/>
      <c r="R184" s="1"/>
      <c r="T184" s="1"/>
      <c r="U184" s="125"/>
      <c r="V184" s="111"/>
      <c r="W184" s="112"/>
      <c r="X184" s="113"/>
      <c r="Y184" s="1"/>
      <c r="Z184" s="1"/>
      <c r="AA184" s="1"/>
    </row>
    <row r="185">
      <c r="D185" s="4"/>
      <c r="H185" s="1"/>
      <c r="I185" s="1"/>
      <c r="Q185" s="1"/>
      <c r="R185" s="1"/>
      <c r="T185" s="1"/>
      <c r="U185" s="125"/>
      <c r="V185" s="111"/>
      <c r="W185" s="112"/>
      <c r="X185" s="113"/>
      <c r="Y185" s="1"/>
      <c r="Z185" s="1"/>
      <c r="AA185" s="1"/>
    </row>
    <row r="186">
      <c r="D186" s="4"/>
      <c r="H186" s="1"/>
      <c r="I186" s="1"/>
      <c r="Q186" s="1"/>
      <c r="R186" s="1"/>
      <c r="T186" s="1"/>
      <c r="U186" s="125"/>
      <c r="V186" s="111"/>
      <c r="W186" s="112"/>
      <c r="X186" s="113"/>
      <c r="Y186" s="1"/>
      <c r="Z186" s="1"/>
      <c r="AA186" s="1"/>
    </row>
    <row r="187">
      <c r="D187" s="4"/>
      <c r="H187" s="1"/>
      <c r="I187" s="1"/>
      <c r="Q187" s="1"/>
      <c r="R187" s="1"/>
      <c r="T187" s="1"/>
      <c r="U187" s="125"/>
      <c r="V187" s="111"/>
      <c r="W187" s="112"/>
      <c r="X187" s="113"/>
      <c r="Y187" s="1"/>
      <c r="Z187" s="1"/>
      <c r="AA187" s="1"/>
    </row>
    <row r="188">
      <c r="D188" s="4"/>
      <c r="H188" s="1"/>
      <c r="I188" s="1"/>
      <c r="Q188" s="1"/>
      <c r="R188" s="1"/>
      <c r="T188" s="1"/>
      <c r="U188" s="125"/>
      <c r="V188" s="111"/>
      <c r="W188" s="112"/>
      <c r="X188" s="113"/>
      <c r="Y188" s="1"/>
      <c r="Z188" s="1"/>
      <c r="AA188" s="1"/>
    </row>
    <row r="189">
      <c r="D189" s="4"/>
      <c r="H189" s="1"/>
      <c r="I189" s="1"/>
      <c r="Q189" s="1"/>
      <c r="R189" s="1"/>
      <c r="T189" s="1"/>
      <c r="U189" s="125"/>
      <c r="V189" s="111"/>
      <c r="W189" s="112"/>
      <c r="X189" s="113"/>
      <c r="Y189" s="1"/>
      <c r="Z189" s="1"/>
      <c r="AA189" s="1"/>
    </row>
    <row r="190">
      <c r="D190" s="4"/>
      <c r="H190" s="1"/>
      <c r="I190" s="1"/>
      <c r="Q190" s="1"/>
      <c r="R190" s="1"/>
      <c r="T190" s="1"/>
      <c r="U190" s="125"/>
      <c r="V190" s="111"/>
      <c r="W190" s="112"/>
      <c r="X190" s="113"/>
      <c r="Y190" s="1"/>
      <c r="Z190" s="1"/>
      <c r="AA190" s="1"/>
    </row>
    <row r="191">
      <c r="D191" s="4"/>
      <c r="H191" s="1"/>
      <c r="I191" s="1"/>
      <c r="Q191" s="1"/>
      <c r="R191" s="1"/>
      <c r="T191" s="1"/>
      <c r="U191" s="125"/>
      <c r="V191" s="111"/>
      <c r="W191" s="112"/>
      <c r="X191" s="113"/>
      <c r="Y191" s="1"/>
      <c r="Z191" s="1"/>
      <c r="AA191" s="1"/>
    </row>
    <row r="192">
      <c r="D192" s="4"/>
      <c r="H192" s="1"/>
      <c r="I192" s="1"/>
      <c r="Q192" s="1"/>
      <c r="R192" s="1"/>
      <c r="T192" s="1"/>
      <c r="U192" s="125"/>
      <c r="V192" s="111"/>
      <c r="W192" s="112"/>
      <c r="X192" s="113"/>
      <c r="Y192" s="1"/>
      <c r="Z192" s="1"/>
      <c r="AA192" s="1"/>
    </row>
    <row r="193">
      <c r="D193" s="4"/>
      <c r="H193" s="1"/>
      <c r="I193" s="1"/>
      <c r="Q193" s="1"/>
      <c r="R193" s="1"/>
      <c r="T193" s="1"/>
      <c r="U193" s="125"/>
      <c r="V193" s="111"/>
      <c r="W193" s="112"/>
      <c r="X193" s="113"/>
      <c r="Y193" s="1"/>
      <c r="Z193" s="1"/>
      <c r="AA193" s="1"/>
    </row>
    <row r="194">
      <c r="D194" s="4"/>
      <c r="H194" s="1"/>
      <c r="I194" s="1"/>
      <c r="Q194" s="1"/>
      <c r="R194" s="1"/>
      <c r="T194" s="1"/>
      <c r="U194" s="125"/>
      <c r="V194" s="111"/>
      <c r="W194" s="112"/>
      <c r="X194" s="113"/>
      <c r="Y194" s="1"/>
      <c r="Z194" s="1"/>
      <c r="AA194" s="1"/>
    </row>
    <row r="195">
      <c r="D195" s="4"/>
      <c r="H195" s="1"/>
      <c r="I195" s="1"/>
      <c r="Q195" s="1"/>
      <c r="R195" s="1"/>
      <c r="T195" s="1"/>
      <c r="U195" s="125"/>
      <c r="V195" s="111"/>
      <c r="W195" s="112"/>
      <c r="X195" s="113"/>
      <c r="Y195" s="1"/>
      <c r="Z195" s="1"/>
      <c r="AA195" s="1"/>
    </row>
    <row r="196">
      <c r="D196" s="4"/>
      <c r="H196" s="1"/>
      <c r="I196" s="1"/>
      <c r="Q196" s="1"/>
      <c r="R196" s="1"/>
      <c r="T196" s="1"/>
      <c r="U196" s="125"/>
      <c r="V196" s="111"/>
      <c r="W196" s="112"/>
      <c r="X196" s="113"/>
      <c r="Y196" s="1"/>
      <c r="Z196" s="1"/>
      <c r="AA196" s="1"/>
    </row>
    <row r="197">
      <c r="D197" s="4"/>
      <c r="H197" s="1"/>
      <c r="I197" s="1"/>
      <c r="Q197" s="1"/>
      <c r="R197" s="1"/>
      <c r="T197" s="1"/>
      <c r="U197" s="125"/>
      <c r="V197" s="111"/>
      <c r="W197" s="112"/>
      <c r="X197" s="113"/>
      <c r="Y197" s="1"/>
      <c r="Z197" s="1"/>
      <c r="AA197" s="1"/>
    </row>
    <row r="198">
      <c r="D198" s="4"/>
      <c r="H198" s="1"/>
      <c r="I198" s="1"/>
      <c r="Q198" s="1"/>
      <c r="R198" s="1"/>
      <c r="T198" s="1"/>
      <c r="U198" s="125"/>
      <c r="V198" s="111"/>
      <c r="W198" s="112"/>
      <c r="X198" s="113"/>
      <c r="Y198" s="1"/>
      <c r="Z198" s="1"/>
      <c r="AA198" s="1"/>
    </row>
    <row r="199">
      <c r="D199" s="4"/>
      <c r="H199" s="1"/>
      <c r="I199" s="1"/>
      <c r="Q199" s="1"/>
      <c r="R199" s="1"/>
      <c r="T199" s="1"/>
      <c r="U199" s="125"/>
      <c r="V199" s="111"/>
      <c r="W199" s="112"/>
      <c r="X199" s="113"/>
      <c r="Y199" s="1"/>
      <c r="Z199" s="1"/>
      <c r="AA199" s="1"/>
    </row>
    <row r="200">
      <c r="D200" s="4"/>
      <c r="H200" s="1"/>
      <c r="I200" s="1"/>
      <c r="Q200" s="1"/>
      <c r="R200" s="1"/>
      <c r="T200" s="1"/>
      <c r="U200" s="125"/>
      <c r="V200" s="111"/>
      <c r="W200" s="112"/>
      <c r="X200" s="113"/>
      <c r="Y200" s="1"/>
      <c r="Z200" s="1"/>
      <c r="AA200" s="1"/>
    </row>
    <row r="201">
      <c r="D201" s="4"/>
      <c r="H201" s="1"/>
      <c r="I201" s="1"/>
      <c r="Q201" s="1"/>
      <c r="R201" s="1"/>
      <c r="T201" s="1"/>
      <c r="U201" s="125"/>
      <c r="V201" s="111"/>
      <c r="W201" s="112"/>
      <c r="X201" s="113"/>
      <c r="Y201" s="1"/>
      <c r="Z201" s="1"/>
      <c r="AA201" s="1"/>
    </row>
    <row r="202">
      <c r="D202" s="4"/>
      <c r="H202" s="1"/>
      <c r="I202" s="1"/>
      <c r="Q202" s="1"/>
      <c r="R202" s="1"/>
      <c r="T202" s="1"/>
      <c r="U202" s="125"/>
      <c r="V202" s="111"/>
      <c r="W202" s="112"/>
      <c r="X202" s="113"/>
      <c r="Y202" s="1"/>
      <c r="Z202" s="1"/>
      <c r="AA202" s="1"/>
    </row>
    <row r="203">
      <c r="D203" s="4"/>
      <c r="H203" s="1"/>
      <c r="I203" s="1"/>
      <c r="Q203" s="1"/>
      <c r="R203" s="1"/>
      <c r="T203" s="1"/>
      <c r="U203" s="125"/>
      <c r="V203" s="111"/>
      <c r="W203" s="112"/>
      <c r="X203" s="113"/>
      <c r="Y203" s="1"/>
      <c r="Z203" s="1"/>
      <c r="AA203" s="1"/>
    </row>
    <row r="204">
      <c r="D204" s="4"/>
      <c r="H204" s="1"/>
      <c r="I204" s="1"/>
      <c r="Q204" s="1"/>
      <c r="R204" s="1"/>
      <c r="T204" s="1"/>
      <c r="U204" s="125"/>
      <c r="V204" s="111"/>
      <c r="W204" s="112"/>
      <c r="X204" s="113"/>
      <c r="Y204" s="1"/>
      <c r="Z204" s="1"/>
      <c r="AA204" s="1"/>
    </row>
    <row r="205">
      <c r="D205" s="4"/>
      <c r="H205" s="1"/>
      <c r="I205" s="1"/>
      <c r="Q205" s="1"/>
      <c r="R205" s="1"/>
      <c r="T205" s="1"/>
      <c r="U205" s="125"/>
      <c r="V205" s="111"/>
      <c r="W205" s="112"/>
      <c r="X205" s="113"/>
      <c r="Y205" s="1"/>
      <c r="Z205" s="1"/>
      <c r="AA205" s="1"/>
    </row>
    <row r="206">
      <c r="D206" s="4"/>
      <c r="H206" s="1"/>
      <c r="I206" s="1"/>
      <c r="Q206" s="1"/>
      <c r="R206" s="1"/>
      <c r="T206" s="1"/>
      <c r="U206" s="125"/>
      <c r="V206" s="111"/>
      <c r="W206" s="112"/>
      <c r="X206" s="113"/>
      <c r="Y206" s="1"/>
      <c r="Z206" s="1"/>
      <c r="AA206" s="1"/>
    </row>
    <row r="207">
      <c r="D207" s="4"/>
      <c r="H207" s="1"/>
      <c r="I207" s="1"/>
      <c r="Q207" s="1"/>
      <c r="R207" s="1"/>
      <c r="T207" s="1"/>
      <c r="U207" s="125"/>
      <c r="V207" s="111"/>
      <c r="W207" s="112"/>
      <c r="X207" s="113"/>
      <c r="Y207" s="1"/>
      <c r="Z207" s="1"/>
      <c r="AA207" s="1"/>
    </row>
    <row r="208">
      <c r="D208" s="4"/>
      <c r="H208" s="1"/>
      <c r="I208" s="1"/>
      <c r="Q208" s="1"/>
      <c r="R208" s="1"/>
      <c r="T208" s="1"/>
      <c r="U208" s="125"/>
      <c r="V208" s="111"/>
      <c r="W208" s="112"/>
      <c r="X208" s="113"/>
      <c r="Y208" s="1"/>
      <c r="Z208" s="1"/>
      <c r="AA208" s="1"/>
    </row>
    <row r="209">
      <c r="D209" s="4"/>
      <c r="H209" s="1"/>
      <c r="I209" s="1"/>
      <c r="Q209" s="1"/>
      <c r="R209" s="1"/>
      <c r="T209" s="1"/>
      <c r="U209" s="125"/>
      <c r="V209" s="111"/>
      <c r="W209" s="112"/>
      <c r="X209" s="113"/>
      <c r="Y209" s="1"/>
      <c r="Z209" s="1"/>
      <c r="AA209" s="1"/>
    </row>
    <row r="210">
      <c r="D210" s="4"/>
      <c r="H210" s="1"/>
      <c r="I210" s="1"/>
      <c r="Q210" s="1"/>
      <c r="R210" s="1"/>
      <c r="T210" s="1"/>
      <c r="U210" s="125"/>
      <c r="V210" s="111"/>
      <c r="W210" s="112"/>
      <c r="X210" s="113"/>
      <c r="Y210" s="1"/>
      <c r="Z210" s="1"/>
      <c r="AA210" s="1"/>
    </row>
    <row r="211">
      <c r="D211" s="4"/>
      <c r="H211" s="1"/>
      <c r="I211" s="1"/>
      <c r="Q211" s="1"/>
      <c r="R211" s="1"/>
      <c r="T211" s="1"/>
      <c r="U211" s="125"/>
      <c r="V211" s="111"/>
      <c r="W211" s="112"/>
      <c r="X211" s="113"/>
      <c r="Y211" s="1"/>
      <c r="Z211" s="1"/>
      <c r="AA211" s="1"/>
    </row>
    <row r="212">
      <c r="D212" s="4"/>
      <c r="H212" s="1"/>
      <c r="I212" s="1"/>
      <c r="Q212" s="1"/>
      <c r="R212" s="1"/>
      <c r="T212" s="1"/>
      <c r="U212" s="125"/>
      <c r="V212" s="111"/>
      <c r="W212" s="112"/>
      <c r="X212" s="113"/>
      <c r="Y212" s="1"/>
      <c r="Z212" s="1"/>
      <c r="AA212" s="1"/>
    </row>
    <row r="213">
      <c r="D213" s="4"/>
      <c r="H213" s="1"/>
      <c r="I213" s="1"/>
      <c r="Q213" s="1"/>
      <c r="R213" s="1"/>
      <c r="T213" s="1"/>
      <c r="U213" s="125"/>
      <c r="V213" s="111"/>
      <c r="W213" s="112"/>
      <c r="X213" s="113"/>
      <c r="Y213" s="1"/>
      <c r="Z213" s="1"/>
      <c r="AA213" s="1"/>
    </row>
    <row r="214">
      <c r="D214" s="4"/>
      <c r="H214" s="1"/>
      <c r="I214" s="1"/>
      <c r="Q214" s="1"/>
      <c r="R214" s="1"/>
      <c r="T214" s="1"/>
      <c r="U214" s="125"/>
      <c r="V214" s="111"/>
      <c r="W214" s="112"/>
      <c r="X214" s="113"/>
      <c r="Y214" s="1"/>
      <c r="Z214" s="1"/>
      <c r="AA214" s="1"/>
    </row>
    <row r="215">
      <c r="D215" s="4"/>
      <c r="H215" s="1"/>
      <c r="I215" s="1"/>
      <c r="Q215" s="1"/>
      <c r="R215" s="1"/>
      <c r="T215" s="1"/>
      <c r="U215" s="125"/>
      <c r="V215" s="111"/>
      <c r="W215" s="112"/>
      <c r="X215" s="113"/>
      <c r="Y215" s="1"/>
      <c r="Z215" s="1"/>
      <c r="AA215" s="1"/>
    </row>
    <row r="216">
      <c r="D216" s="4"/>
      <c r="H216" s="1"/>
      <c r="I216" s="1"/>
      <c r="Q216" s="1"/>
      <c r="R216" s="1"/>
      <c r="T216" s="1"/>
      <c r="U216" s="125"/>
      <c r="V216" s="111"/>
      <c r="W216" s="112"/>
      <c r="X216" s="113"/>
      <c r="Y216" s="1"/>
      <c r="Z216" s="1"/>
      <c r="AA216" s="1"/>
    </row>
    <row r="217">
      <c r="D217" s="4"/>
      <c r="H217" s="1"/>
      <c r="I217" s="1"/>
      <c r="Q217" s="1"/>
      <c r="R217" s="1"/>
      <c r="T217" s="1"/>
      <c r="U217" s="125"/>
      <c r="V217" s="111"/>
      <c r="W217" s="112"/>
      <c r="X217" s="113"/>
      <c r="Y217" s="1"/>
      <c r="Z217" s="1"/>
      <c r="AA217" s="1"/>
    </row>
    <row r="218">
      <c r="D218" s="4"/>
      <c r="H218" s="1"/>
      <c r="I218" s="1"/>
      <c r="Q218" s="1"/>
      <c r="R218" s="1"/>
      <c r="T218" s="1"/>
      <c r="U218" s="125"/>
      <c r="V218" s="111"/>
      <c r="W218" s="112"/>
      <c r="X218" s="113"/>
      <c r="Y218" s="1"/>
      <c r="Z218" s="1"/>
      <c r="AA218" s="1"/>
    </row>
    <row r="219">
      <c r="D219" s="4"/>
      <c r="H219" s="1"/>
      <c r="I219" s="1"/>
      <c r="Q219" s="1"/>
      <c r="R219" s="1"/>
      <c r="T219" s="1"/>
      <c r="U219" s="125"/>
      <c r="V219" s="111"/>
      <c r="W219" s="112"/>
      <c r="X219" s="113"/>
      <c r="Y219" s="1"/>
      <c r="Z219" s="1"/>
      <c r="AA219" s="1"/>
    </row>
    <row r="220">
      <c r="D220" s="4"/>
      <c r="H220" s="1"/>
      <c r="I220" s="1"/>
      <c r="Q220" s="1"/>
      <c r="R220" s="1"/>
      <c r="T220" s="1"/>
      <c r="U220" s="125"/>
      <c r="V220" s="111"/>
      <c r="W220" s="112"/>
      <c r="X220" s="113"/>
      <c r="Y220" s="1"/>
      <c r="Z220" s="1"/>
      <c r="AA220" s="1"/>
    </row>
    <row r="221">
      <c r="D221" s="4"/>
      <c r="H221" s="1"/>
      <c r="I221" s="1"/>
      <c r="Q221" s="1"/>
      <c r="R221" s="1"/>
      <c r="T221" s="1"/>
      <c r="U221" s="125"/>
      <c r="V221" s="111"/>
      <c r="W221" s="112"/>
      <c r="X221" s="113"/>
      <c r="Y221" s="1"/>
      <c r="Z221" s="1"/>
      <c r="AA221" s="1"/>
    </row>
    <row r="222">
      <c r="D222" s="4"/>
      <c r="H222" s="1"/>
      <c r="I222" s="1"/>
      <c r="Q222" s="1"/>
      <c r="R222" s="1"/>
      <c r="T222" s="1"/>
      <c r="U222" s="125"/>
      <c r="V222" s="111"/>
      <c r="W222" s="112"/>
      <c r="X222" s="113"/>
      <c r="Y222" s="1"/>
      <c r="Z222" s="1"/>
      <c r="AA222" s="1"/>
    </row>
    <row r="223">
      <c r="D223" s="4"/>
      <c r="H223" s="1"/>
      <c r="I223" s="1"/>
      <c r="Q223" s="1"/>
      <c r="R223" s="1"/>
      <c r="T223" s="1"/>
      <c r="U223" s="125"/>
      <c r="V223" s="111"/>
      <c r="W223" s="112"/>
      <c r="X223" s="113"/>
      <c r="Y223" s="1"/>
      <c r="Z223" s="1"/>
      <c r="AA223" s="1"/>
    </row>
    <row r="224">
      <c r="D224" s="4"/>
      <c r="H224" s="1"/>
      <c r="I224" s="1"/>
      <c r="Q224" s="1"/>
      <c r="R224" s="1"/>
      <c r="T224" s="1"/>
      <c r="U224" s="125"/>
      <c r="V224" s="111"/>
      <c r="W224" s="112"/>
      <c r="X224" s="113"/>
      <c r="Y224" s="1"/>
      <c r="Z224" s="1"/>
      <c r="AA224" s="1"/>
    </row>
    <row r="225">
      <c r="D225" s="4"/>
      <c r="H225" s="1"/>
      <c r="I225" s="1"/>
      <c r="Q225" s="1"/>
      <c r="R225" s="1"/>
      <c r="T225" s="1"/>
      <c r="U225" s="125"/>
      <c r="V225" s="111"/>
      <c r="W225" s="112"/>
      <c r="X225" s="113"/>
      <c r="Y225" s="1"/>
      <c r="Z225" s="1"/>
      <c r="AA225" s="1"/>
    </row>
    <row r="226">
      <c r="D226" s="4"/>
      <c r="H226" s="1"/>
      <c r="I226" s="1"/>
      <c r="Q226" s="1"/>
      <c r="R226" s="1"/>
      <c r="T226" s="1"/>
      <c r="U226" s="125"/>
      <c r="V226" s="111"/>
      <c r="W226" s="112"/>
      <c r="X226" s="113"/>
      <c r="Y226" s="1"/>
      <c r="Z226" s="1"/>
      <c r="AA226" s="1"/>
    </row>
    <row r="227">
      <c r="D227" s="4"/>
      <c r="H227" s="1"/>
      <c r="I227" s="1"/>
      <c r="Q227" s="1"/>
      <c r="R227" s="1"/>
      <c r="T227" s="1"/>
      <c r="U227" s="125"/>
      <c r="V227" s="111"/>
      <c r="W227" s="112"/>
      <c r="X227" s="113"/>
      <c r="Y227" s="1"/>
      <c r="Z227" s="1"/>
      <c r="AA227" s="1"/>
    </row>
    <row r="228">
      <c r="D228" s="4"/>
      <c r="H228" s="1"/>
      <c r="I228" s="1"/>
      <c r="Q228" s="1"/>
      <c r="R228" s="1"/>
      <c r="T228" s="1"/>
      <c r="U228" s="125"/>
      <c r="V228" s="111"/>
      <c r="W228" s="112"/>
      <c r="X228" s="113"/>
      <c r="Y228" s="1"/>
      <c r="Z228" s="1"/>
      <c r="AA228" s="1"/>
    </row>
    <row r="229">
      <c r="D229" s="4"/>
      <c r="H229" s="1"/>
      <c r="I229" s="1"/>
      <c r="Q229" s="1"/>
      <c r="R229" s="1"/>
      <c r="T229" s="1"/>
      <c r="U229" s="125"/>
      <c r="V229" s="111"/>
      <c r="W229" s="112"/>
      <c r="X229" s="113"/>
      <c r="Y229" s="1"/>
      <c r="Z229" s="1"/>
      <c r="AA229" s="1"/>
    </row>
    <row r="230">
      <c r="D230" s="4"/>
      <c r="H230" s="1"/>
      <c r="I230" s="1"/>
      <c r="Q230" s="1"/>
      <c r="R230" s="1"/>
      <c r="T230" s="1"/>
      <c r="U230" s="125"/>
      <c r="V230" s="111"/>
      <c r="W230" s="112"/>
      <c r="X230" s="113"/>
      <c r="Y230" s="1"/>
      <c r="Z230" s="1"/>
      <c r="AA230" s="1"/>
    </row>
    <row r="231">
      <c r="D231" s="4"/>
      <c r="H231" s="1"/>
      <c r="I231" s="1"/>
      <c r="Q231" s="1"/>
      <c r="R231" s="1"/>
      <c r="T231" s="1"/>
      <c r="U231" s="125"/>
      <c r="V231" s="111"/>
      <c r="W231" s="112"/>
      <c r="X231" s="113"/>
      <c r="Y231" s="1"/>
      <c r="Z231" s="1"/>
      <c r="AA231" s="1"/>
    </row>
    <row r="232">
      <c r="D232" s="4"/>
      <c r="H232" s="1"/>
      <c r="I232" s="1"/>
      <c r="Q232" s="1"/>
      <c r="R232" s="1"/>
      <c r="T232" s="1"/>
      <c r="U232" s="125"/>
      <c r="V232" s="111"/>
      <c r="W232" s="112"/>
      <c r="X232" s="113"/>
      <c r="Y232" s="1"/>
      <c r="Z232" s="1"/>
      <c r="AA232" s="1"/>
    </row>
    <row r="233">
      <c r="D233" s="4"/>
      <c r="H233" s="1"/>
      <c r="I233" s="1"/>
      <c r="Q233" s="1"/>
      <c r="R233" s="1"/>
      <c r="T233" s="1"/>
      <c r="U233" s="125"/>
      <c r="V233" s="111"/>
      <c r="W233" s="112"/>
      <c r="X233" s="113"/>
      <c r="Y233" s="1"/>
      <c r="Z233" s="1"/>
      <c r="AA233" s="1"/>
    </row>
    <row r="234">
      <c r="D234" s="4"/>
      <c r="H234" s="1"/>
      <c r="I234" s="1"/>
      <c r="Q234" s="1"/>
      <c r="R234" s="1"/>
      <c r="T234" s="1"/>
      <c r="U234" s="125"/>
      <c r="V234" s="111"/>
      <c r="W234" s="112"/>
      <c r="X234" s="113"/>
      <c r="Y234" s="1"/>
      <c r="Z234" s="1"/>
      <c r="AA234" s="1"/>
    </row>
    <row r="235">
      <c r="D235" s="4"/>
      <c r="H235" s="1"/>
      <c r="I235" s="1"/>
      <c r="Q235" s="1"/>
      <c r="R235" s="1"/>
      <c r="T235" s="1"/>
      <c r="U235" s="125"/>
      <c r="V235" s="111"/>
      <c r="W235" s="112"/>
      <c r="X235" s="113"/>
      <c r="Y235" s="1"/>
      <c r="Z235" s="1"/>
      <c r="AA235" s="1"/>
    </row>
    <row r="236">
      <c r="D236" s="4"/>
      <c r="H236" s="1"/>
      <c r="I236" s="1"/>
      <c r="Q236" s="1"/>
      <c r="R236" s="1"/>
      <c r="T236" s="1"/>
      <c r="U236" s="125"/>
      <c r="V236" s="111"/>
      <c r="W236" s="112"/>
      <c r="X236" s="113"/>
      <c r="Y236" s="1"/>
      <c r="Z236" s="1"/>
      <c r="AA236" s="1"/>
    </row>
    <row r="237">
      <c r="D237" s="4"/>
      <c r="H237" s="1"/>
      <c r="I237" s="1"/>
      <c r="Q237" s="1"/>
      <c r="R237" s="1"/>
      <c r="T237" s="1"/>
      <c r="U237" s="125"/>
      <c r="V237" s="111"/>
      <c r="W237" s="112"/>
      <c r="X237" s="113"/>
      <c r="Y237" s="1"/>
      <c r="Z237" s="1"/>
      <c r="AA237" s="1"/>
    </row>
    <row r="238">
      <c r="D238" s="4"/>
      <c r="H238" s="1"/>
      <c r="I238" s="1"/>
      <c r="Q238" s="1"/>
      <c r="R238" s="1"/>
      <c r="T238" s="1"/>
      <c r="U238" s="125"/>
      <c r="V238" s="111"/>
      <c r="W238" s="112"/>
      <c r="X238" s="113"/>
      <c r="Y238" s="1"/>
      <c r="Z238" s="1"/>
      <c r="AA238" s="1"/>
    </row>
    <row r="239">
      <c r="D239" s="4"/>
      <c r="H239" s="1"/>
      <c r="I239" s="1"/>
      <c r="Q239" s="1"/>
      <c r="R239" s="1"/>
      <c r="T239" s="1"/>
      <c r="U239" s="125"/>
      <c r="V239" s="111"/>
      <c r="W239" s="112"/>
      <c r="X239" s="113"/>
      <c r="Y239" s="1"/>
      <c r="Z239" s="1"/>
      <c r="AA239" s="1"/>
    </row>
    <row r="240">
      <c r="D240" s="4"/>
      <c r="H240" s="1"/>
      <c r="I240" s="1"/>
      <c r="Q240" s="1"/>
      <c r="R240" s="1"/>
      <c r="T240" s="1"/>
      <c r="U240" s="125"/>
      <c r="V240" s="111"/>
      <c r="W240" s="112"/>
      <c r="X240" s="113"/>
      <c r="Y240" s="1"/>
      <c r="Z240" s="1"/>
      <c r="AA240" s="1"/>
    </row>
    <row r="241">
      <c r="D241" s="4"/>
      <c r="H241" s="1"/>
      <c r="I241" s="1"/>
      <c r="Q241" s="1"/>
      <c r="R241" s="1"/>
      <c r="T241" s="1"/>
      <c r="U241" s="125"/>
      <c r="V241" s="111"/>
      <c r="W241" s="112"/>
      <c r="X241" s="113"/>
      <c r="Y241" s="1"/>
      <c r="Z241" s="1"/>
      <c r="AA241" s="1"/>
    </row>
    <row r="242">
      <c r="D242" s="4"/>
      <c r="H242" s="1"/>
      <c r="I242" s="1"/>
      <c r="Q242" s="1"/>
      <c r="R242" s="1"/>
      <c r="T242" s="1"/>
      <c r="U242" s="125"/>
      <c r="V242" s="111"/>
      <c r="W242" s="112"/>
      <c r="X242" s="113"/>
      <c r="Y242" s="1"/>
      <c r="Z242" s="1"/>
      <c r="AA242" s="1"/>
    </row>
    <row r="243">
      <c r="D243" s="4"/>
      <c r="H243" s="1"/>
      <c r="I243" s="1"/>
      <c r="Q243" s="1"/>
      <c r="R243" s="1"/>
      <c r="T243" s="1"/>
      <c r="U243" s="125"/>
      <c r="V243" s="111"/>
      <c r="W243" s="112"/>
      <c r="X243" s="113"/>
      <c r="Y243" s="1"/>
      <c r="Z243" s="1"/>
      <c r="AA243" s="1"/>
    </row>
    <row r="244">
      <c r="D244" s="4"/>
      <c r="H244" s="1"/>
      <c r="I244" s="1"/>
      <c r="Q244" s="1"/>
      <c r="R244" s="1"/>
      <c r="T244" s="1"/>
      <c r="U244" s="125"/>
      <c r="V244" s="111"/>
      <c r="W244" s="112"/>
      <c r="X244" s="113"/>
      <c r="Y244" s="1"/>
      <c r="Z244" s="1"/>
      <c r="AA244" s="1"/>
    </row>
    <row r="245">
      <c r="D245" s="4"/>
      <c r="H245" s="1"/>
      <c r="I245" s="1"/>
      <c r="Q245" s="1"/>
      <c r="R245" s="1"/>
      <c r="T245" s="1"/>
      <c r="U245" s="125"/>
      <c r="V245" s="111"/>
      <c r="W245" s="112"/>
      <c r="X245" s="113"/>
      <c r="Y245" s="1"/>
      <c r="Z245" s="1"/>
      <c r="AA245" s="1"/>
    </row>
    <row r="246">
      <c r="D246" s="4"/>
      <c r="H246" s="1"/>
      <c r="I246" s="1"/>
      <c r="Q246" s="1"/>
      <c r="R246" s="1"/>
      <c r="T246" s="1"/>
      <c r="U246" s="125"/>
      <c r="V246" s="111"/>
      <c r="W246" s="112"/>
      <c r="X246" s="113"/>
      <c r="Y246" s="1"/>
      <c r="Z246" s="1"/>
      <c r="AA246" s="1"/>
    </row>
    <row r="247">
      <c r="D247" s="4"/>
      <c r="H247" s="1"/>
      <c r="I247" s="1"/>
      <c r="Q247" s="1"/>
      <c r="R247" s="1"/>
      <c r="T247" s="1"/>
      <c r="U247" s="125"/>
      <c r="V247" s="111"/>
      <c r="W247" s="112"/>
      <c r="X247" s="113"/>
      <c r="Y247" s="1"/>
      <c r="Z247" s="1"/>
      <c r="AA247" s="1"/>
    </row>
    <row r="248">
      <c r="D248" s="4"/>
      <c r="H248" s="1"/>
      <c r="I248" s="1"/>
      <c r="Q248" s="1"/>
      <c r="R248" s="1"/>
      <c r="T248" s="1"/>
      <c r="U248" s="125"/>
      <c r="V248" s="111"/>
      <c r="W248" s="112"/>
      <c r="X248" s="113"/>
      <c r="Y248" s="1"/>
      <c r="Z248" s="1"/>
      <c r="AA248" s="1"/>
    </row>
    <row r="249">
      <c r="D249" s="4"/>
      <c r="H249" s="1"/>
      <c r="I249" s="1"/>
      <c r="Q249" s="1"/>
      <c r="R249" s="1"/>
      <c r="T249" s="1"/>
      <c r="U249" s="125"/>
      <c r="V249" s="111"/>
      <c r="W249" s="112"/>
      <c r="X249" s="113"/>
      <c r="Y249" s="1"/>
      <c r="Z249" s="1"/>
      <c r="AA249" s="1"/>
    </row>
    <row r="250">
      <c r="D250" s="4"/>
      <c r="H250" s="1"/>
      <c r="I250" s="1"/>
      <c r="Q250" s="1"/>
      <c r="R250" s="1"/>
      <c r="T250" s="1"/>
      <c r="U250" s="125"/>
      <c r="V250" s="111"/>
      <c r="W250" s="112"/>
      <c r="X250" s="113"/>
      <c r="Y250" s="1"/>
      <c r="Z250" s="1"/>
      <c r="AA250" s="1"/>
    </row>
    <row r="251">
      <c r="D251" s="4"/>
      <c r="H251" s="1"/>
      <c r="I251" s="1"/>
      <c r="Q251" s="1"/>
      <c r="R251" s="1"/>
      <c r="T251" s="1"/>
      <c r="U251" s="125"/>
      <c r="V251" s="111"/>
      <c r="W251" s="112"/>
      <c r="X251" s="113"/>
      <c r="Y251" s="1"/>
      <c r="Z251" s="1"/>
      <c r="AA251" s="1"/>
    </row>
    <row r="252">
      <c r="D252" s="4"/>
      <c r="H252" s="1"/>
      <c r="I252" s="1"/>
      <c r="Q252" s="1"/>
      <c r="R252" s="1"/>
      <c r="T252" s="1"/>
      <c r="U252" s="125"/>
      <c r="V252" s="111"/>
      <c r="W252" s="112"/>
      <c r="X252" s="113"/>
      <c r="Y252" s="1"/>
      <c r="Z252" s="1"/>
      <c r="AA252" s="1"/>
    </row>
    <row r="253">
      <c r="D253" s="4"/>
      <c r="H253" s="1"/>
      <c r="I253" s="1"/>
      <c r="Q253" s="1"/>
      <c r="R253" s="1"/>
      <c r="T253" s="1"/>
      <c r="U253" s="125"/>
      <c r="V253" s="111"/>
      <c r="W253" s="112"/>
      <c r="X253" s="113"/>
      <c r="Y253" s="1"/>
      <c r="Z253" s="1"/>
      <c r="AA253" s="1"/>
    </row>
    <row r="254">
      <c r="D254" s="4"/>
      <c r="H254" s="1"/>
      <c r="I254" s="1"/>
      <c r="Q254" s="1"/>
      <c r="R254" s="1"/>
      <c r="T254" s="1"/>
      <c r="U254" s="125"/>
      <c r="V254" s="111"/>
      <c r="W254" s="112"/>
      <c r="X254" s="113"/>
      <c r="Y254" s="1"/>
      <c r="Z254" s="1"/>
      <c r="AA254" s="1"/>
    </row>
    <row r="255">
      <c r="D255" s="4"/>
      <c r="H255" s="1"/>
      <c r="I255" s="1"/>
      <c r="Q255" s="1"/>
      <c r="R255" s="1"/>
      <c r="T255" s="1"/>
      <c r="U255" s="125"/>
      <c r="V255" s="111"/>
      <c r="W255" s="112"/>
      <c r="X255" s="113"/>
      <c r="Y255" s="1"/>
      <c r="Z255" s="1"/>
      <c r="AA255" s="1"/>
    </row>
    <row r="256">
      <c r="D256" s="4"/>
      <c r="H256" s="1"/>
      <c r="I256" s="1"/>
      <c r="Q256" s="1"/>
      <c r="R256" s="1"/>
      <c r="T256" s="1"/>
      <c r="U256" s="125"/>
      <c r="V256" s="111"/>
      <c r="W256" s="112"/>
      <c r="X256" s="113"/>
      <c r="Y256" s="1"/>
      <c r="Z256" s="1"/>
      <c r="AA256" s="1"/>
    </row>
    <row r="257">
      <c r="D257" s="4"/>
      <c r="H257" s="1"/>
      <c r="I257" s="1"/>
      <c r="Q257" s="1"/>
      <c r="R257" s="1"/>
      <c r="T257" s="1"/>
      <c r="U257" s="125"/>
      <c r="V257" s="111"/>
      <c r="W257" s="112"/>
      <c r="X257" s="113"/>
      <c r="Y257" s="1"/>
      <c r="Z257" s="1"/>
      <c r="AA257" s="1"/>
    </row>
    <row r="258">
      <c r="D258" s="4"/>
      <c r="H258" s="1"/>
      <c r="I258" s="1"/>
      <c r="Q258" s="1"/>
      <c r="R258" s="1"/>
      <c r="T258" s="1"/>
      <c r="U258" s="125"/>
      <c r="V258" s="111"/>
      <c r="W258" s="112"/>
      <c r="X258" s="113"/>
      <c r="Y258" s="1"/>
      <c r="Z258" s="1"/>
      <c r="AA258" s="1"/>
    </row>
    <row r="259">
      <c r="D259" s="4"/>
      <c r="H259" s="1"/>
      <c r="I259" s="1"/>
      <c r="Q259" s="1"/>
      <c r="R259" s="1"/>
      <c r="T259" s="1"/>
      <c r="U259" s="125"/>
      <c r="V259" s="111"/>
      <c r="W259" s="112"/>
      <c r="X259" s="113"/>
      <c r="Y259" s="1"/>
      <c r="Z259" s="1"/>
      <c r="AA259" s="1"/>
    </row>
    <row r="260">
      <c r="D260" s="4"/>
      <c r="H260" s="1"/>
      <c r="I260" s="1"/>
      <c r="Q260" s="1"/>
      <c r="R260" s="1"/>
      <c r="T260" s="1"/>
      <c r="U260" s="125"/>
      <c r="V260" s="111"/>
      <c r="W260" s="112"/>
      <c r="X260" s="113"/>
      <c r="Y260" s="1"/>
      <c r="Z260" s="1"/>
      <c r="AA260" s="1"/>
    </row>
    <row r="261">
      <c r="D261" s="4"/>
      <c r="H261" s="1"/>
      <c r="I261" s="1"/>
      <c r="Q261" s="1"/>
      <c r="R261" s="1"/>
      <c r="T261" s="1"/>
      <c r="U261" s="125"/>
      <c r="V261" s="111"/>
      <c r="W261" s="112"/>
      <c r="X261" s="113"/>
      <c r="Y261" s="1"/>
      <c r="Z261" s="1"/>
      <c r="AA261" s="1"/>
    </row>
    <row r="262">
      <c r="D262" s="4"/>
      <c r="H262" s="1"/>
      <c r="I262" s="1"/>
      <c r="Q262" s="1"/>
      <c r="R262" s="1"/>
      <c r="T262" s="1"/>
      <c r="U262" s="125"/>
      <c r="V262" s="111"/>
      <c r="W262" s="112"/>
      <c r="X262" s="113"/>
      <c r="Y262" s="1"/>
      <c r="Z262" s="1"/>
      <c r="AA262" s="1"/>
    </row>
    <row r="263">
      <c r="D263" s="4"/>
      <c r="H263" s="1"/>
      <c r="I263" s="1"/>
      <c r="Q263" s="1"/>
      <c r="R263" s="1"/>
      <c r="T263" s="1"/>
      <c r="U263" s="125"/>
      <c r="V263" s="111"/>
      <c r="W263" s="112"/>
      <c r="X263" s="113"/>
      <c r="Y263" s="1"/>
      <c r="Z263" s="1"/>
      <c r="AA263" s="1"/>
    </row>
    <row r="264">
      <c r="D264" s="4"/>
      <c r="H264" s="1"/>
      <c r="I264" s="1"/>
      <c r="Q264" s="1"/>
      <c r="R264" s="1"/>
      <c r="T264" s="1"/>
      <c r="U264" s="125"/>
      <c r="V264" s="111"/>
      <c r="W264" s="112"/>
      <c r="X264" s="113"/>
      <c r="Y264" s="1"/>
      <c r="Z264" s="1"/>
      <c r="AA264" s="1"/>
    </row>
    <row r="265">
      <c r="D265" s="4"/>
      <c r="H265" s="1"/>
      <c r="I265" s="1"/>
      <c r="Q265" s="1"/>
      <c r="R265" s="1"/>
      <c r="T265" s="1"/>
      <c r="U265" s="125"/>
      <c r="V265" s="111"/>
      <c r="W265" s="112"/>
      <c r="X265" s="113"/>
      <c r="Y265" s="1"/>
      <c r="Z265" s="1"/>
      <c r="AA265" s="1"/>
    </row>
    <row r="266">
      <c r="D266" s="4"/>
      <c r="H266" s="1"/>
      <c r="I266" s="1"/>
      <c r="Q266" s="1"/>
      <c r="R266" s="1"/>
      <c r="T266" s="1"/>
      <c r="U266" s="125"/>
      <c r="V266" s="111"/>
      <c r="W266" s="112"/>
      <c r="X266" s="113"/>
      <c r="Y266" s="1"/>
      <c r="Z266" s="1"/>
      <c r="AA266" s="1"/>
    </row>
    <row r="267">
      <c r="D267" s="4"/>
      <c r="H267" s="1"/>
      <c r="I267" s="1"/>
      <c r="Q267" s="1"/>
      <c r="R267" s="1"/>
      <c r="T267" s="1"/>
      <c r="U267" s="125"/>
      <c r="V267" s="111"/>
      <c r="W267" s="112"/>
      <c r="X267" s="113"/>
      <c r="Y267" s="1"/>
      <c r="Z267" s="1"/>
      <c r="AA267" s="1"/>
    </row>
    <row r="268">
      <c r="D268" s="4"/>
      <c r="H268" s="1"/>
      <c r="I268" s="1"/>
      <c r="Q268" s="1"/>
      <c r="R268" s="1"/>
      <c r="T268" s="1"/>
      <c r="U268" s="125"/>
      <c r="V268" s="111"/>
      <c r="W268" s="112"/>
      <c r="X268" s="113"/>
      <c r="Y268" s="1"/>
      <c r="Z268" s="1"/>
      <c r="AA268" s="1"/>
    </row>
    <row r="269">
      <c r="D269" s="4"/>
      <c r="H269" s="1"/>
      <c r="I269" s="1"/>
      <c r="Q269" s="1"/>
      <c r="R269" s="1"/>
      <c r="T269" s="1"/>
      <c r="U269" s="125"/>
      <c r="V269" s="111"/>
      <c r="W269" s="112"/>
      <c r="X269" s="113"/>
      <c r="Y269" s="1"/>
      <c r="Z269" s="1"/>
      <c r="AA269" s="1"/>
    </row>
    <row r="270">
      <c r="D270" s="4"/>
      <c r="H270" s="1"/>
      <c r="I270" s="1"/>
      <c r="Q270" s="1"/>
      <c r="R270" s="1"/>
      <c r="T270" s="1"/>
      <c r="U270" s="125"/>
      <c r="V270" s="111"/>
      <c r="W270" s="112"/>
      <c r="X270" s="113"/>
      <c r="Y270" s="1"/>
      <c r="Z270" s="1"/>
      <c r="AA270" s="1"/>
    </row>
    <row r="271">
      <c r="D271" s="4"/>
      <c r="H271" s="1"/>
      <c r="I271" s="1"/>
      <c r="Q271" s="1"/>
      <c r="R271" s="1"/>
      <c r="T271" s="1"/>
      <c r="U271" s="125"/>
      <c r="V271" s="111"/>
      <c r="W271" s="112"/>
      <c r="X271" s="113"/>
      <c r="Y271" s="1"/>
      <c r="Z271" s="1"/>
      <c r="AA271" s="1"/>
    </row>
    <row r="272">
      <c r="D272" s="4"/>
      <c r="H272" s="1"/>
      <c r="I272" s="1"/>
      <c r="Q272" s="1"/>
      <c r="R272" s="1"/>
      <c r="T272" s="1"/>
      <c r="U272" s="125"/>
      <c r="V272" s="111"/>
      <c r="W272" s="112"/>
      <c r="X272" s="113"/>
      <c r="Y272" s="1"/>
      <c r="Z272" s="1"/>
      <c r="AA272" s="1"/>
    </row>
    <row r="273">
      <c r="D273" s="4"/>
      <c r="H273" s="1"/>
      <c r="I273" s="1"/>
      <c r="Q273" s="1"/>
      <c r="R273" s="1"/>
      <c r="T273" s="1"/>
      <c r="U273" s="125"/>
      <c r="V273" s="111"/>
      <c r="W273" s="112"/>
      <c r="X273" s="113"/>
      <c r="Y273" s="1"/>
      <c r="Z273" s="1"/>
      <c r="AA273" s="1"/>
    </row>
    <row r="274">
      <c r="D274" s="4"/>
      <c r="H274" s="1"/>
      <c r="I274" s="1"/>
      <c r="Q274" s="1"/>
      <c r="R274" s="1"/>
      <c r="T274" s="1"/>
      <c r="U274" s="125"/>
      <c r="V274" s="111"/>
      <c r="W274" s="112"/>
      <c r="X274" s="113"/>
      <c r="Y274" s="1"/>
      <c r="Z274" s="1"/>
      <c r="AA274" s="1"/>
    </row>
    <row r="275">
      <c r="D275" s="4"/>
      <c r="H275" s="1"/>
      <c r="I275" s="1"/>
      <c r="Q275" s="1"/>
      <c r="R275" s="1"/>
      <c r="T275" s="1"/>
      <c r="U275" s="125"/>
      <c r="V275" s="111"/>
      <c r="W275" s="112"/>
      <c r="X275" s="113"/>
      <c r="Y275" s="1"/>
      <c r="Z275" s="1"/>
      <c r="AA275" s="1"/>
    </row>
    <row r="276">
      <c r="D276" s="4"/>
      <c r="H276" s="1"/>
      <c r="I276" s="1"/>
      <c r="Q276" s="1"/>
      <c r="R276" s="1"/>
      <c r="T276" s="1"/>
      <c r="U276" s="125"/>
      <c r="V276" s="111"/>
      <c r="W276" s="112"/>
      <c r="X276" s="113"/>
      <c r="Y276" s="1"/>
      <c r="Z276" s="1"/>
      <c r="AA276" s="1"/>
    </row>
    <row r="277">
      <c r="D277" s="4"/>
      <c r="H277" s="1"/>
      <c r="I277" s="1"/>
      <c r="Q277" s="1"/>
      <c r="R277" s="1"/>
      <c r="T277" s="1"/>
      <c r="U277" s="125"/>
      <c r="V277" s="111"/>
      <c r="W277" s="112"/>
      <c r="X277" s="113"/>
      <c r="Y277" s="1"/>
      <c r="Z277" s="1"/>
      <c r="AA277" s="1"/>
    </row>
    <row r="278">
      <c r="D278" s="4"/>
      <c r="H278" s="1"/>
      <c r="I278" s="1"/>
      <c r="Q278" s="1"/>
      <c r="R278" s="1"/>
      <c r="T278" s="1"/>
      <c r="U278" s="125"/>
      <c r="V278" s="111"/>
      <c r="W278" s="112"/>
      <c r="X278" s="113"/>
      <c r="Y278" s="1"/>
      <c r="Z278" s="1"/>
      <c r="AA278" s="1"/>
    </row>
    <row r="279">
      <c r="D279" s="4"/>
      <c r="H279" s="1"/>
      <c r="I279" s="1"/>
      <c r="Q279" s="1"/>
      <c r="R279" s="1"/>
      <c r="T279" s="1"/>
      <c r="U279" s="125"/>
      <c r="V279" s="111"/>
      <c r="W279" s="112"/>
      <c r="X279" s="113"/>
      <c r="Y279" s="1"/>
      <c r="Z279" s="1"/>
      <c r="AA279" s="1"/>
    </row>
    <row r="280">
      <c r="D280" s="4"/>
      <c r="H280" s="1"/>
      <c r="I280" s="1"/>
      <c r="Q280" s="1"/>
      <c r="R280" s="1"/>
      <c r="T280" s="1"/>
      <c r="U280" s="125"/>
      <c r="V280" s="111"/>
      <c r="W280" s="112"/>
      <c r="X280" s="113"/>
      <c r="Y280" s="1"/>
      <c r="Z280" s="1"/>
      <c r="AA280" s="1"/>
    </row>
    <row r="281">
      <c r="D281" s="4"/>
      <c r="H281" s="1"/>
      <c r="I281" s="1"/>
      <c r="Q281" s="1"/>
      <c r="R281" s="1"/>
      <c r="T281" s="1"/>
      <c r="U281" s="125"/>
      <c r="V281" s="111"/>
      <c r="W281" s="112"/>
      <c r="X281" s="113"/>
      <c r="Y281" s="1"/>
      <c r="Z281" s="1"/>
      <c r="AA281" s="1"/>
    </row>
    <row r="282">
      <c r="D282" s="4"/>
      <c r="H282" s="1"/>
      <c r="I282" s="1"/>
      <c r="Q282" s="1"/>
      <c r="R282" s="1"/>
      <c r="T282" s="1"/>
      <c r="U282" s="125"/>
      <c r="V282" s="111"/>
      <c r="W282" s="112"/>
      <c r="X282" s="113"/>
      <c r="Y282" s="1"/>
      <c r="Z282" s="1"/>
      <c r="AA282" s="1"/>
    </row>
    <row r="283">
      <c r="D283" s="4"/>
      <c r="H283" s="1"/>
      <c r="I283" s="1"/>
      <c r="Q283" s="1"/>
      <c r="R283" s="1"/>
      <c r="T283" s="1"/>
      <c r="U283" s="125"/>
      <c r="V283" s="111"/>
      <c r="W283" s="112"/>
      <c r="X283" s="113"/>
      <c r="Y283" s="1"/>
      <c r="Z283" s="1"/>
      <c r="AA283" s="1"/>
    </row>
    <row r="284">
      <c r="D284" s="4"/>
      <c r="H284" s="1"/>
      <c r="I284" s="1"/>
      <c r="Q284" s="1"/>
      <c r="R284" s="1"/>
      <c r="T284" s="1"/>
      <c r="U284" s="125"/>
      <c r="V284" s="111"/>
      <c r="W284" s="112"/>
      <c r="X284" s="113"/>
      <c r="Y284" s="1"/>
      <c r="Z284" s="1"/>
      <c r="AA284" s="1"/>
    </row>
    <row r="285">
      <c r="D285" s="4"/>
      <c r="H285" s="1"/>
      <c r="I285" s="1"/>
      <c r="Q285" s="1"/>
      <c r="R285" s="1"/>
      <c r="T285" s="1"/>
      <c r="U285" s="125"/>
      <c r="V285" s="111"/>
      <c r="W285" s="112"/>
      <c r="X285" s="113"/>
      <c r="Y285" s="1"/>
      <c r="Z285" s="1"/>
      <c r="AA285" s="1"/>
    </row>
    <row r="286">
      <c r="D286" s="4"/>
      <c r="H286" s="1"/>
      <c r="I286" s="1"/>
      <c r="Q286" s="1"/>
      <c r="R286" s="1"/>
      <c r="T286" s="1"/>
      <c r="U286" s="125"/>
      <c r="V286" s="111"/>
      <c r="W286" s="112"/>
      <c r="X286" s="113"/>
      <c r="Y286" s="1"/>
      <c r="Z286" s="1"/>
      <c r="AA286" s="1"/>
    </row>
    <row r="287">
      <c r="D287" s="4"/>
      <c r="H287" s="1"/>
      <c r="I287" s="1"/>
      <c r="Q287" s="1"/>
      <c r="R287" s="1"/>
      <c r="T287" s="1"/>
      <c r="U287" s="125"/>
      <c r="V287" s="111"/>
      <c r="W287" s="112"/>
      <c r="X287" s="113"/>
      <c r="Y287" s="1"/>
      <c r="Z287" s="1"/>
      <c r="AA287" s="1"/>
    </row>
    <row r="288">
      <c r="D288" s="4"/>
      <c r="H288" s="1"/>
      <c r="I288" s="1"/>
      <c r="Q288" s="1"/>
      <c r="R288" s="1"/>
      <c r="T288" s="1"/>
      <c r="U288" s="125"/>
      <c r="V288" s="111"/>
      <c r="W288" s="112"/>
      <c r="X288" s="113"/>
      <c r="Y288" s="1"/>
      <c r="Z288" s="1"/>
      <c r="AA288" s="1"/>
    </row>
    <row r="289">
      <c r="D289" s="4"/>
      <c r="H289" s="1"/>
      <c r="I289" s="1"/>
      <c r="Q289" s="1"/>
      <c r="R289" s="1"/>
      <c r="T289" s="1"/>
      <c r="U289" s="125"/>
      <c r="V289" s="111"/>
      <c r="W289" s="112"/>
      <c r="X289" s="113"/>
      <c r="Y289" s="1"/>
      <c r="Z289" s="1"/>
      <c r="AA289" s="1"/>
    </row>
    <row r="290">
      <c r="D290" s="4"/>
      <c r="H290" s="1"/>
      <c r="I290" s="1"/>
      <c r="Q290" s="1"/>
      <c r="R290" s="1"/>
      <c r="T290" s="1"/>
      <c r="U290" s="125"/>
      <c r="V290" s="111"/>
      <c r="W290" s="112"/>
      <c r="X290" s="113"/>
      <c r="Y290" s="1"/>
      <c r="Z290" s="1"/>
      <c r="AA290" s="1"/>
    </row>
    <row r="291">
      <c r="D291" s="4"/>
      <c r="H291" s="1"/>
      <c r="I291" s="1"/>
      <c r="Q291" s="1"/>
      <c r="R291" s="1"/>
      <c r="T291" s="1"/>
      <c r="U291" s="125"/>
      <c r="V291" s="111"/>
      <c r="W291" s="112"/>
      <c r="X291" s="113"/>
      <c r="Y291" s="1"/>
      <c r="Z291" s="1"/>
      <c r="AA291" s="1"/>
    </row>
    <row r="292">
      <c r="D292" s="4"/>
      <c r="H292" s="1"/>
      <c r="I292" s="1"/>
      <c r="Q292" s="1"/>
      <c r="R292" s="1"/>
      <c r="T292" s="1"/>
      <c r="U292" s="125"/>
      <c r="V292" s="111"/>
      <c r="W292" s="112"/>
      <c r="X292" s="113"/>
      <c r="Y292" s="1"/>
      <c r="Z292" s="1"/>
      <c r="AA292" s="1"/>
    </row>
    <row r="293">
      <c r="D293" s="4"/>
      <c r="H293" s="1"/>
      <c r="I293" s="1"/>
      <c r="Q293" s="1"/>
      <c r="R293" s="1"/>
      <c r="T293" s="1"/>
      <c r="U293" s="125"/>
      <c r="V293" s="111"/>
      <c r="W293" s="112"/>
      <c r="X293" s="113"/>
      <c r="Y293" s="1"/>
      <c r="Z293" s="1"/>
      <c r="AA293" s="1"/>
    </row>
    <row r="294">
      <c r="D294" s="4"/>
      <c r="H294" s="1"/>
      <c r="I294" s="1"/>
      <c r="Q294" s="1"/>
      <c r="R294" s="1"/>
      <c r="T294" s="1"/>
      <c r="U294" s="125"/>
      <c r="V294" s="111"/>
      <c r="W294" s="112"/>
      <c r="X294" s="113"/>
      <c r="Y294" s="1"/>
      <c r="Z294" s="1"/>
      <c r="AA294" s="1"/>
    </row>
    <row r="295">
      <c r="D295" s="4"/>
      <c r="H295" s="1"/>
      <c r="I295" s="1"/>
      <c r="Q295" s="1"/>
      <c r="R295" s="1"/>
      <c r="T295" s="1"/>
      <c r="U295" s="125"/>
      <c r="V295" s="111"/>
      <c r="W295" s="112"/>
      <c r="X295" s="113"/>
      <c r="Y295" s="1"/>
      <c r="Z295" s="1"/>
      <c r="AA295" s="1"/>
    </row>
    <row r="296">
      <c r="D296" s="4"/>
      <c r="H296" s="1"/>
      <c r="I296" s="1"/>
      <c r="Q296" s="1"/>
      <c r="R296" s="1"/>
      <c r="T296" s="1"/>
      <c r="U296" s="125"/>
      <c r="V296" s="111"/>
      <c r="W296" s="112"/>
      <c r="X296" s="113"/>
      <c r="Y296" s="1"/>
      <c r="Z296" s="1"/>
      <c r="AA296" s="1"/>
    </row>
    <row r="297">
      <c r="D297" s="4"/>
      <c r="H297" s="1"/>
      <c r="I297" s="1"/>
      <c r="Q297" s="1"/>
      <c r="R297" s="1"/>
      <c r="T297" s="1"/>
      <c r="U297" s="125"/>
      <c r="V297" s="111"/>
      <c r="W297" s="112"/>
      <c r="X297" s="113"/>
      <c r="Y297" s="1"/>
      <c r="Z297" s="1"/>
      <c r="AA297" s="1"/>
    </row>
    <row r="298">
      <c r="D298" s="4"/>
      <c r="H298" s="1"/>
      <c r="I298" s="1"/>
      <c r="Q298" s="1"/>
      <c r="R298" s="1"/>
      <c r="T298" s="1"/>
      <c r="U298" s="125"/>
      <c r="V298" s="111"/>
      <c r="W298" s="112"/>
      <c r="X298" s="113"/>
      <c r="Y298" s="1"/>
      <c r="Z298" s="1"/>
      <c r="AA298" s="1"/>
    </row>
    <row r="299">
      <c r="D299" s="4"/>
      <c r="H299" s="1"/>
      <c r="I299" s="1"/>
      <c r="Q299" s="1"/>
      <c r="R299" s="1"/>
      <c r="T299" s="1"/>
      <c r="U299" s="125"/>
      <c r="V299" s="111"/>
      <c r="W299" s="112"/>
      <c r="X299" s="113"/>
      <c r="Y299" s="1"/>
      <c r="Z299" s="1"/>
      <c r="AA299" s="1"/>
    </row>
    <row r="300">
      <c r="D300" s="4"/>
      <c r="H300" s="1"/>
      <c r="I300" s="1"/>
      <c r="Q300" s="1"/>
      <c r="R300" s="1"/>
      <c r="T300" s="1"/>
      <c r="U300" s="125"/>
      <c r="V300" s="111"/>
      <c r="W300" s="112"/>
      <c r="X300" s="113"/>
      <c r="Y300" s="1"/>
      <c r="Z300" s="1"/>
      <c r="AA300" s="1"/>
    </row>
    <row r="301">
      <c r="D301" s="4"/>
      <c r="H301" s="1"/>
      <c r="I301" s="1"/>
      <c r="Q301" s="1"/>
      <c r="R301" s="1"/>
      <c r="T301" s="1"/>
      <c r="U301" s="125"/>
      <c r="V301" s="111"/>
      <c r="W301" s="112"/>
      <c r="X301" s="113"/>
      <c r="Y301" s="1"/>
      <c r="Z301" s="1"/>
      <c r="AA301" s="1"/>
    </row>
    <row r="302">
      <c r="D302" s="4"/>
      <c r="H302" s="1"/>
      <c r="I302" s="1"/>
      <c r="Q302" s="1"/>
      <c r="R302" s="1"/>
      <c r="T302" s="1"/>
      <c r="U302" s="125"/>
      <c r="V302" s="111"/>
      <c r="W302" s="112"/>
      <c r="X302" s="113"/>
      <c r="Y302" s="1"/>
      <c r="Z302" s="1"/>
      <c r="AA302" s="1"/>
    </row>
    <row r="303">
      <c r="D303" s="4"/>
      <c r="H303" s="1"/>
      <c r="I303" s="1"/>
      <c r="Q303" s="1"/>
      <c r="R303" s="1"/>
      <c r="T303" s="1"/>
      <c r="U303" s="125"/>
      <c r="V303" s="111"/>
      <c r="W303" s="112"/>
      <c r="X303" s="113"/>
      <c r="Y303" s="1"/>
      <c r="Z303" s="1"/>
      <c r="AA303" s="1"/>
    </row>
    <row r="304">
      <c r="D304" s="4"/>
      <c r="H304" s="1"/>
      <c r="I304" s="1"/>
      <c r="Q304" s="1"/>
      <c r="R304" s="1"/>
      <c r="T304" s="1"/>
      <c r="U304" s="125"/>
      <c r="V304" s="111"/>
      <c r="W304" s="112"/>
      <c r="X304" s="113"/>
      <c r="Y304" s="1"/>
      <c r="Z304" s="1"/>
      <c r="AA304" s="1"/>
    </row>
    <row r="305">
      <c r="D305" s="4"/>
      <c r="H305" s="1"/>
      <c r="I305" s="1"/>
      <c r="Q305" s="1"/>
      <c r="R305" s="1"/>
      <c r="T305" s="1"/>
      <c r="U305" s="125"/>
      <c r="V305" s="111"/>
      <c r="W305" s="112"/>
      <c r="X305" s="113"/>
      <c r="Y305" s="1"/>
      <c r="Z305" s="1"/>
      <c r="AA305" s="1"/>
    </row>
    <row r="306">
      <c r="D306" s="4"/>
      <c r="H306" s="1"/>
      <c r="I306" s="1"/>
      <c r="Q306" s="1"/>
      <c r="R306" s="1"/>
      <c r="T306" s="1"/>
      <c r="U306" s="125"/>
      <c r="V306" s="111"/>
      <c r="W306" s="112"/>
      <c r="X306" s="113"/>
      <c r="Y306" s="1"/>
      <c r="Z306" s="1"/>
      <c r="AA306" s="1"/>
    </row>
    <row r="307">
      <c r="D307" s="4"/>
      <c r="H307" s="1"/>
      <c r="I307" s="1"/>
      <c r="Q307" s="1"/>
      <c r="R307" s="1"/>
      <c r="T307" s="1"/>
      <c r="U307" s="125"/>
      <c r="V307" s="111"/>
      <c r="W307" s="112"/>
      <c r="X307" s="113"/>
      <c r="Y307" s="1"/>
      <c r="Z307" s="1"/>
      <c r="AA307" s="1"/>
    </row>
    <row r="308">
      <c r="D308" s="4"/>
      <c r="H308" s="1"/>
      <c r="I308" s="1"/>
      <c r="Q308" s="1"/>
      <c r="R308" s="1"/>
      <c r="T308" s="1"/>
      <c r="U308" s="125"/>
      <c r="V308" s="111"/>
      <c r="W308" s="112"/>
      <c r="X308" s="113"/>
      <c r="Y308" s="1"/>
      <c r="Z308" s="1"/>
      <c r="AA308" s="1"/>
    </row>
    <row r="309">
      <c r="D309" s="4"/>
      <c r="H309" s="1"/>
      <c r="I309" s="1"/>
      <c r="Q309" s="1"/>
      <c r="R309" s="1"/>
      <c r="T309" s="1"/>
      <c r="U309" s="125"/>
      <c r="V309" s="111"/>
      <c r="W309" s="112"/>
      <c r="X309" s="113"/>
      <c r="Y309" s="1"/>
      <c r="Z309" s="1"/>
      <c r="AA309" s="1"/>
    </row>
    <row r="310">
      <c r="D310" s="4"/>
      <c r="H310" s="1"/>
      <c r="I310" s="1"/>
      <c r="Q310" s="1"/>
      <c r="R310" s="1"/>
      <c r="T310" s="1"/>
      <c r="U310" s="125"/>
      <c r="V310" s="111"/>
      <c r="W310" s="112"/>
      <c r="X310" s="113"/>
      <c r="Y310" s="1"/>
      <c r="Z310" s="1"/>
      <c r="AA310" s="1"/>
    </row>
    <row r="311">
      <c r="D311" s="4"/>
      <c r="H311" s="1"/>
      <c r="I311" s="1"/>
      <c r="Q311" s="1"/>
      <c r="R311" s="1"/>
      <c r="T311" s="1"/>
      <c r="U311" s="125"/>
      <c r="V311" s="111"/>
      <c r="W311" s="112"/>
      <c r="X311" s="113"/>
      <c r="Y311" s="1"/>
      <c r="Z311" s="1"/>
      <c r="AA311" s="1"/>
    </row>
    <row r="312">
      <c r="D312" s="4"/>
      <c r="H312" s="1"/>
      <c r="I312" s="1"/>
      <c r="Q312" s="1"/>
      <c r="R312" s="1"/>
      <c r="T312" s="1"/>
      <c r="U312" s="125"/>
      <c r="V312" s="111"/>
      <c r="W312" s="112"/>
      <c r="X312" s="113"/>
      <c r="Y312" s="1"/>
      <c r="Z312" s="1"/>
      <c r="AA312" s="1"/>
    </row>
    <row r="313">
      <c r="D313" s="4"/>
      <c r="H313" s="1"/>
      <c r="I313" s="1"/>
      <c r="Q313" s="1"/>
      <c r="R313" s="1"/>
      <c r="T313" s="1"/>
      <c r="U313" s="125"/>
      <c r="V313" s="111"/>
      <c r="W313" s="112"/>
      <c r="X313" s="113"/>
      <c r="Y313" s="1"/>
      <c r="Z313" s="1"/>
      <c r="AA313" s="1"/>
    </row>
    <row r="314">
      <c r="D314" s="4"/>
      <c r="H314" s="1"/>
      <c r="I314" s="1"/>
      <c r="Q314" s="1"/>
      <c r="R314" s="1"/>
      <c r="T314" s="1"/>
      <c r="U314" s="125"/>
      <c r="V314" s="111"/>
      <c r="W314" s="112"/>
      <c r="X314" s="113"/>
      <c r="Y314" s="1"/>
      <c r="Z314" s="1"/>
      <c r="AA314" s="1"/>
    </row>
    <row r="315">
      <c r="D315" s="4"/>
      <c r="H315" s="1"/>
      <c r="I315" s="1"/>
      <c r="Q315" s="1"/>
      <c r="R315" s="1"/>
      <c r="T315" s="1"/>
      <c r="U315" s="125"/>
      <c r="V315" s="111"/>
      <c r="W315" s="112"/>
      <c r="X315" s="113"/>
      <c r="Y315" s="1"/>
      <c r="Z315" s="1"/>
      <c r="AA315" s="1"/>
    </row>
    <row r="316">
      <c r="D316" s="4"/>
      <c r="H316" s="1"/>
      <c r="I316" s="1"/>
      <c r="Q316" s="1"/>
      <c r="R316" s="1"/>
      <c r="T316" s="1"/>
      <c r="U316" s="125"/>
      <c r="V316" s="111"/>
      <c r="W316" s="112"/>
      <c r="X316" s="113"/>
      <c r="Y316" s="1"/>
      <c r="Z316" s="1"/>
      <c r="AA316" s="1"/>
    </row>
    <row r="317">
      <c r="D317" s="4"/>
      <c r="H317" s="1"/>
      <c r="I317" s="1"/>
      <c r="Q317" s="1"/>
      <c r="R317" s="1"/>
      <c r="T317" s="1"/>
      <c r="U317" s="125"/>
      <c r="V317" s="111"/>
      <c r="W317" s="112"/>
      <c r="X317" s="113"/>
      <c r="Y317" s="1"/>
      <c r="Z317" s="1"/>
      <c r="AA317" s="1"/>
    </row>
    <row r="318">
      <c r="D318" s="4"/>
      <c r="H318" s="1"/>
      <c r="I318" s="1"/>
      <c r="Q318" s="1"/>
      <c r="R318" s="1"/>
      <c r="T318" s="1"/>
      <c r="U318" s="125"/>
      <c r="V318" s="111"/>
      <c r="W318" s="112"/>
      <c r="X318" s="113"/>
      <c r="Y318" s="1"/>
      <c r="Z318" s="1"/>
      <c r="AA318" s="1"/>
    </row>
    <row r="319">
      <c r="D319" s="4"/>
      <c r="H319" s="1"/>
      <c r="I319" s="1"/>
      <c r="Q319" s="1"/>
      <c r="R319" s="1"/>
      <c r="T319" s="1"/>
      <c r="U319" s="125"/>
      <c r="V319" s="111"/>
      <c r="W319" s="112"/>
      <c r="X319" s="113"/>
      <c r="Y319" s="1"/>
      <c r="Z319" s="1"/>
      <c r="AA319" s="1"/>
    </row>
    <row r="320">
      <c r="D320" s="4"/>
      <c r="H320" s="1"/>
      <c r="I320" s="1"/>
      <c r="Q320" s="1"/>
      <c r="R320" s="1"/>
      <c r="T320" s="1"/>
      <c r="U320" s="125"/>
      <c r="V320" s="111"/>
      <c r="W320" s="112"/>
      <c r="X320" s="113"/>
      <c r="Y320" s="1"/>
      <c r="Z320" s="1"/>
      <c r="AA320" s="1"/>
    </row>
    <row r="321">
      <c r="D321" s="4"/>
      <c r="H321" s="1"/>
      <c r="I321" s="1"/>
      <c r="Q321" s="1"/>
      <c r="R321" s="1"/>
      <c r="T321" s="1"/>
      <c r="U321" s="125"/>
      <c r="V321" s="111"/>
      <c r="W321" s="112"/>
      <c r="X321" s="113"/>
      <c r="Y321" s="1"/>
      <c r="Z321" s="1"/>
      <c r="AA321" s="1"/>
    </row>
    <row r="322">
      <c r="D322" s="4"/>
      <c r="H322" s="1"/>
      <c r="I322" s="1"/>
      <c r="Q322" s="1"/>
      <c r="R322" s="1"/>
      <c r="T322" s="1"/>
      <c r="U322" s="125"/>
      <c r="V322" s="111"/>
      <c r="W322" s="112"/>
      <c r="X322" s="113"/>
      <c r="Y322" s="1"/>
      <c r="Z322" s="1"/>
      <c r="AA322" s="1"/>
    </row>
    <row r="323">
      <c r="D323" s="4"/>
      <c r="H323" s="1"/>
      <c r="I323" s="1"/>
      <c r="Q323" s="1"/>
      <c r="R323" s="1"/>
      <c r="T323" s="1"/>
      <c r="U323" s="125"/>
      <c r="V323" s="111"/>
      <c r="W323" s="112"/>
      <c r="X323" s="113"/>
      <c r="Y323" s="1"/>
      <c r="Z323" s="1"/>
      <c r="AA323" s="1"/>
    </row>
    <row r="324">
      <c r="D324" s="4"/>
      <c r="H324" s="1"/>
      <c r="I324" s="1"/>
      <c r="Q324" s="1"/>
      <c r="R324" s="1"/>
      <c r="T324" s="1"/>
      <c r="U324" s="125"/>
      <c r="V324" s="111"/>
      <c r="W324" s="112"/>
      <c r="X324" s="113"/>
      <c r="Y324" s="1"/>
      <c r="Z324" s="1"/>
      <c r="AA324" s="1"/>
    </row>
    <row r="325">
      <c r="D325" s="4"/>
      <c r="H325" s="1"/>
      <c r="I325" s="1"/>
      <c r="Q325" s="1"/>
      <c r="R325" s="1"/>
      <c r="T325" s="1"/>
      <c r="U325" s="125"/>
      <c r="V325" s="111"/>
      <c r="W325" s="112"/>
      <c r="X325" s="113"/>
      <c r="Y325" s="1"/>
      <c r="Z325" s="1"/>
      <c r="AA325" s="1"/>
    </row>
    <row r="326">
      <c r="D326" s="4"/>
      <c r="H326" s="1"/>
      <c r="I326" s="1"/>
      <c r="Q326" s="1"/>
      <c r="R326" s="1"/>
      <c r="T326" s="1"/>
      <c r="U326" s="125"/>
      <c r="V326" s="111"/>
      <c r="W326" s="112"/>
      <c r="X326" s="113"/>
      <c r="Y326" s="1"/>
      <c r="Z326" s="1"/>
      <c r="AA326" s="1"/>
    </row>
    <row r="327">
      <c r="D327" s="4"/>
      <c r="H327" s="1"/>
      <c r="I327" s="1"/>
      <c r="Q327" s="1"/>
      <c r="R327" s="1"/>
      <c r="T327" s="1"/>
      <c r="U327" s="125"/>
      <c r="V327" s="111"/>
      <c r="W327" s="112"/>
      <c r="X327" s="113"/>
      <c r="Y327" s="1"/>
      <c r="Z327" s="1"/>
      <c r="AA327" s="1"/>
    </row>
    <row r="328">
      <c r="D328" s="4"/>
      <c r="H328" s="1"/>
      <c r="I328" s="1"/>
      <c r="Q328" s="1"/>
      <c r="R328" s="1"/>
      <c r="T328" s="1"/>
      <c r="U328" s="125"/>
      <c r="V328" s="111"/>
      <c r="W328" s="112"/>
      <c r="X328" s="113"/>
      <c r="Y328" s="1"/>
      <c r="Z328" s="1"/>
      <c r="AA328" s="1"/>
    </row>
    <row r="329">
      <c r="D329" s="4"/>
      <c r="H329" s="1"/>
      <c r="I329" s="1"/>
      <c r="Q329" s="1"/>
      <c r="R329" s="1"/>
      <c r="T329" s="1"/>
      <c r="U329" s="125"/>
      <c r="V329" s="111"/>
      <c r="W329" s="112"/>
      <c r="X329" s="113"/>
      <c r="Y329" s="1"/>
      <c r="Z329" s="1"/>
      <c r="AA329" s="1"/>
    </row>
    <row r="330">
      <c r="D330" s="4"/>
      <c r="H330" s="1"/>
      <c r="I330" s="1"/>
      <c r="Q330" s="1"/>
      <c r="R330" s="1"/>
      <c r="T330" s="1"/>
      <c r="U330" s="125"/>
      <c r="V330" s="111"/>
      <c r="W330" s="112"/>
      <c r="X330" s="113"/>
      <c r="Y330" s="1"/>
      <c r="Z330" s="1"/>
      <c r="AA330" s="1"/>
    </row>
    <row r="331">
      <c r="D331" s="4"/>
      <c r="H331" s="1"/>
      <c r="I331" s="1"/>
      <c r="Q331" s="1"/>
      <c r="R331" s="1"/>
      <c r="T331" s="1"/>
      <c r="U331" s="125"/>
      <c r="V331" s="111"/>
      <c r="W331" s="112"/>
      <c r="X331" s="113"/>
      <c r="Y331" s="1"/>
      <c r="Z331" s="1"/>
      <c r="AA331" s="1"/>
    </row>
    <row r="332">
      <c r="D332" s="4"/>
      <c r="H332" s="1"/>
      <c r="I332" s="1"/>
      <c r="Q332" s="1"/>
      <c r="R332" s="1"/>
      <c r="T332" s="1"/>
      <c r="U332" s="125"/>
      <c r="V332" s="111"/>
      <c r="W332" s="112"/>
      <c r="X332" s="113"/>
      <c r="Y332" s="1"/>
      <c r="Z332" s="1"/>
      <c r="AA332" s="1"/>
    </row>
    <row r="333">
      <c r="D333" s="4"/>
      <c r="H333" s="1"/>
      <c r="I333" s="1"/>
      <c r="Q333" s="1"/>
      <c r="R333" s="1"/>
      <c r="T333" s="1"/>
      <c r="U333" s="125"/>
      <c r="V333" s="111"/>
      <c r="W333" s="112"/>
      <c r="X333" s="113"/>
      <c r="Y333" s="1"/>
      <c r="Z333" s="1"/>
      <c r="AA333" s="1"/>
    </row>
    <row r="334">
      <c r="D334" s="4"/>
      <c r="H334" s="1"/>
      <c r="I334" s="1"/>
      <c r="Q334" s="1"/>
      <c r="R334" s="1"/>
      <c r="T334" s="1"/>
      <c r="U334" s="125"/>
      <c r="V334" s="111"/>
      <c r="W334" s="112"/>
      <c r="X334" s="113"/>
      <c r="Y334" s="1"/>
      <c r="Z334" s="1"/>
      <c r="AA334" s="1"/>
    </row>
    <row r="335">
      <c r="D335" s="4"/>
      <c r="H335" s="1"/>
      <c r="I335" s="1"/>
      <c r="Q335" s="1"/>
      <c r="R335" s="1"/>
      <c r="T335" s="1"/>
      <c r="U335" s="125"/>
      <c r="V335" s="111"/>
      <c r="W335" s="112"/>
      <c r="X335" s="113"/>
      <c r="Y335" s="1"/>
      <c r="Z335" s="1"/>
      <c r="AA335" s="1"/>
    </row>
    <row r="336">
      <c r="D336" s="4"/>
      <c r="H336" s="1"/>
      <c r="I336" s="1"/>
      <c r="Q336" s="1"/>
      <c r="R336" s="1"/>
      <c r="T336" s="1"/>
      <c r="U336" s="125"/>
      <c r="V336" s="111"/>
      <c r="W336" s="112"/>
      <c r="X336" s="113"/>
      <c r="Y336" s="1"/>
      <c r="Z336" s="1"/>
      <c r="AA336" s="1"/>
    </row>
    <row r="337">
      <c r="D337" s="4"/>
      <c r="H337" s="1"/>
      <c r="I337" s="1"/>
      <c r="Q337" s="1"/>
      <c r="R337" s="1"/>
      <c r="T337" s="1"/>
      <c r="U337" s="125"/>
      <c r="V337" s="111"/>
      <c r="W337" s="112"/>
      <c r="X337" s="113"/>
      <c r="Y337" s="1"/>
      <c r="Z337" s="1"/>
      <c r="AA337" s="1"/>
    </row>
    <row r="338">
      <c r="D338" s="4"/>
      <c r="H338" s="1"/>
      <c r="I338" s="1"/>
      <c r="Q338" s="1"/>
      <c r="R338" s="1"/>
      <c r="T338" s="1"/>
      <c r="U338" s="125"/>
      <c r="V338" s="111"/>
      <c r="W338" s="112"/>
      <c r="X338" s="113"/>
      <c r="Y338" s="1"/>
      <c r="Z338" s="1"/>
      <c r="AA338" s="1"/>
    </row>
    <row r="339">
      <c r="D339" s="4"/>
      <c r="H339" s="1"/>
      <c r="I339" s="1"/>
      <c r="Q339" s="1"/>
      <c r="R339" s="1"/>
      <c r="T339" s="1"/>
      <c r="U339" s="125"/>
      <c r="V339" s="111"/>
      <c r="W339" s="112"/>
      <c r="X339" s="113"/>
      <c r="Y339" s="1"/>
      <c r="Z339" s="1"/>
      <c r="AA339" s="1"/>
    </row>
    <row r="340">
      <c r="D340" s="4"/>
      <c r="H340" s="1"/>
      <c r="I340" s="1"/>
      <c r="Q340" s="1"/>
      <c r="R340" s="1"/>
      <c r="T340" s="1"/>
      <c r="U340" s="125"/>
      <c r="V340" s="111"/>
      <c r="W340" s="112"/>
      <c r="X340" s="113"/>
      <c r="Y340" s="1"/>
      <c r="Z340" s="1"/>
      <c r="AA340" s="1"/>
    </row>
    <row r="341">
      <c r="D341" s="4"/>
      <c r="H341" s="1"/>
      <c r="I341" s="1"/>
      <c r="Q341" s="1"/>
      <c r="R341" s="1"/>
      <c r="T341" s="1"/>
      <c r="U341" s="125"/>
      <c r="V341" s="111"/>
      <c r="W341" s="112"/>
      <c r="X341" s="113"/>
      <c r="Y341" s="1"/>
      <c r="Z341" s="1"/>
      <c r="AA341" s="1"/>
    </row>
    <row r="342">
      <c r="D342" s="4"/>
      <c r="H342" s="1"/>
      <c r="I342" s="1"/>
      <c r="Q342" s="1"/>
      <c r="R342" s="1"/>
      <c r="T342" s="1"/>
      <c r="U342" s="125"/>
      <c r="V342" s="111"/>
      <c r="W342" s="112"/>
      <c r="X342" s="113"/>
      <c r="Y342" s="1"/>
      <c r="Z342" s="1"/>
      <c r="AA342" s="1"/>
    </row>
    <row r="343">
      <c r="D343" s="4"/>
      <c r="H343" s="1"/>
      <c r="I343" s="1"/>
      <c r="Q343" s="1"/>
      <c r="R343" s="1"/>
      <c r="T343" s="1"/>
      <c r="U343" s="125"/>
      <c r="V343" s="111"/>
      <c r="W343" s="112"/>
      <c r="X343" s="113"/>
      <c r="Y343" s="1"/>
      <c r="Z343" s="1"/>
      <c r="AA343" s="1"/>
    </row>
    <row r="344">
      <c r="D344" s="4"/>
      <c r="H344" s="1"/>
      <c r="I344" s="1"/>
      <c r="Q344" s="1"/>
      <c r="R344" s="1"/>
      <c r="U344" s="125"/>
      <c r="V344" s="111"/>
      <c r="W344" s="112"/>
      <c r="X344" s="113"/>
      <c r="Z344" s="1"/>
      <c r="AA344" s="1"/>
    </row>
    <row r="345">
      <c r="D345" s="4"/>
      <c r="H345" s="1"/>
      <c r="I345" s="1"/>
      <c r="Q345" s="1"/>
      <c r="R345" s="1"/>
      <c r="U345" s="125"/>
      <c r="V345" s="111"/>
      <c r="W345" s="112"/>
      <c r="X345" s="113"/>
      <c r="Z345" s="1"/>
      <c r="AA345" s="1"/>
    </row>
    <row r="346">
      <c r="D346" s="4"/>
      <c r="H346" s="1"/>
      <c r="I346" s="1"/>
      <c r="Q346" s="1"/>
      <c r="R346" s="1"/>
      <c r="U346" s="125"/>
      <c r="V346" s="111"/>
      <c r="W346" s="112"/>
      <c r="X346" s="113"/>
      <c r="Z346" s="1"/>
      <c r="AA346" s="1"/>
    </row>
    <row r="347">
      <c r="D347" s="4"/>
      <c r="H347" s="1"/>
      <c r="I347" s="1"/>
      <c r="Q347" s="1"/>
      <c r="R347" s="1"/>
      <c r="U347" s="125"/>
      <c r="V347" s="111"/>
      <c r="W347" s="112"/>
      <c r="X347" s="113"/>
      <c r="Z347" s="1"/>
      <c r="AA347" s="1"/>
    </row>
    <row r="348">
      <c r="D348" s="4"/>
      <c r="H348" s="1"/>
      <c r="I348" s="1"/>
      <c r="Q348" s="1"/>
      <c r="R348" s="1"/>
      <c r="U348" s="125"/>
      <c r="V348" s="111"/>
      <c r="W348" s="112"/>
      <c r="X348" s="113"/>
      <c r="Z348" s="1"/>
      <c r="AA348" s="1"/>
    </row>
    <row r="349">
      <c r="D349" s="4"/>
      <c r="H349" s="1"/>
      <c r="I349" s="1"/>
      <c r="Q349" s="1"/>
      <c r="R349" s="1"/>
      <c r="U349" s="125"/>
      <c r="V349" s="111"/>
      <c r="W349" s="112"/>
      <c r="X349" s="113"/>
      <c r="Z349" s="1"/>
      <c r="AA349" s="1"/>
    </row>
    <row r="350">
      <c r="D350" s="4"/>
      <c r="H350" s="1"/>
      <c r="I350" s="1"/>
      <c r="Q350" s="1"/>
      <c r="R350" s="1"/>
      <c r="U350" s="125"/>
      <c r="V350" s="111"/>
      <c r="W350" s="112"/>
      <c r="X350" s="113"/>
      <c r="Z350" s="1"/>
      <c r="AA350" s="1"/>
    </row>
    <row r="351">
      <c r="D351" s="4"/>
      <c r="H351" s="1"/>
      <c r="I351" s="1"/>
      <c r="Q351" s="1"/>
      <c r="R351" s="1"/>
      <c r="U351" s="125"/>
      <c r="V351" s="111"/>
      <c r="W351" s="112"/>
      <c r="X351" s="113"/>
      <c r="Z351" s="1"/>
      <c r="AA351" s="1"/>
    </row>
    <row r="352">
      <c r="D352" s="4"/>
      <c r="H352" s="1"/>
      <c r="I352" s="1"/>
      <c r="Q352" s="1"/>
      <c r="R352" s="1"/>
      <c r="U352" s="125"/>
      <c r="V352" s="111"/>
      <c r="W352" s="112"/>
      <c r="X352" s="113"/>
      <c r="Z352" s="1"/>
      <c r="AA352" s="1"/>
    </row>
    <row r="353">
      <c r="D353" s="4"/>
      <c r="H353" s="1"/>
      <c r="I353" s="1"/>
      <c r="Q353" s="1"/>
      <c r="R353" s="1"/>
      <c r="U353" s="125"/>
      <c r="V353" s="111"/>
      <c r="W353" s="112"/>
      <c r="X353" s="113"/>
      <c r="Z353" s="1"/>
      <c r="AA353" s="1"/>
    </row>
    <row r="354">
      <c r="D354" s="4"/>
      <c r="H354" s="1"/>
      <c r="I354" s="1"/>
      <c r="Q354" s="1"/>
      <c r="R354" s="1"/>
      <c r="U354" s="125"/>
      <c r="V354" s="111"/>
      <c r="W354" s="112"/>
      <c r="X354" s="113"/>
      <c r="Z354" s="1"/>
      <c r="AA354" s="1"/>
    </row>
    <row r="355">
      <c r="D355" s="4"/>
      <c r="H355" s="1"/>
      <c r="I355" s="1"/>
      <c r="Q355" s="1"/>
      <c r="R355" s="1"/>
      <c r="U355" s="125"/>
      <c r="V355" s="111"/>
      <c r="W355" s="112"/>
      <c r="X355" s="113"/>
      <c r="Z355" s="1"/>
      <c r="AA355" s="1"/>
    </row>
    <row r="356">
      <c r="D356" s="4"/>
      <c r="H356" s="1"/>
      <c r="I356" s="1"/>
      <c r="Q356" s="1"/>
      <c r="R356" s="1"/>
      <c r="U356" s="125"/>
      <c r="V356" s="111"/>
      <c r="W356" s="112"/>
      <c r="X356" s="113"/>
      <c r="Z356" s="1"/>
      <c r="AA356" s="1"/>
    </row>
    <row r="357">
      <c r="D357" s="4"/>
      <c r="H357" s="1"/>
      <c r="I357" s="1"/>
      <c r="Q357" s="1"/>
      <c r="R357" s="1"/>
      <c r="U357" s="125"/>
      <c r="V357" s="111"/>
      <c r="W357" s="112"/>
      <c r="X357" s="113"/>
      <c r="Z357" s="1"/>
      <c r="AA357" s="1"/>
    </row>
    <row r="358">
      <c r="D358" s="4"/>
      <c r="H358" s="1"/>
      <c r="I358" s="1"/>
      <c r="Q358" s="1"/>
      <c r="R358" s="1"/>
      <c r="U358" s="125"/>
      <c r="V358" s="111"/>
      <c r="W358" s="112"/>
      <c r="X358" s="113"/>
      <c r="Z358" s="1"/>
      <c r="AA358" s="1"/>
    </row>
    <row r="359">
      <c r="D359" s="4"/>
      <c r="H359" s="1"/>
      <c r="I359" s="1"/>
      <c r="Q359" s="1"/>
      <c r="R359" s="1"/>
      <c r="U359" s="125"/>
      <c r="V359" s="111"/>
      <c r="W359" s="112"/>
      <c r="X359" s="113"/>
      <c r="Z359" s="1"/>
      <c r="AA359" s="1"/>
    </row>
    <row r="360">
      <c r="D360" s="4"/>
      <c r="H360" s="1"/>
      <c r="I360" s="1"/>
      <c r="Q360" s="1"/>
      <c r="R360" s="1"/>
      <c r="U360" s="125"/>
      <c r="V360" s="111"/>
      <c r="W360" s="112"/>
      <c r="X360" s="113"/>
      <c r="Z360" s="1"/>
      <c r="AA360" s="1"/>
    </row>
    <row r="361">
      <c r="D361" s="4"/>
      <c r="H361" s="1"/>
      <c r="I361" s="1"/>
      <c r="Q361" s="1"/>
      <c r="R361" s="1"/>
      <c r="U361" s="125"/>
      <c r="V361" s="111"/>
      <c r="W361" s="112"/>
      <c r="X361" s="113"/>
      <c r="Z361" s="1"/>
      <c r="AA361" s="1"/>
    </row>
    <row r="362">
      <c r="D362" s="4"/>
      <c r="H362" s="1"/>
      <c r="I362" s="1"/>
      <c r="Q362" s="1"/>
      <c r="R362" s="1"/>
      <c r="U362" s="125"/>
      <c r="V362" s="111"/>
      <c r="W362" s="112"/>
      <c r="X362" s="113"/>
      <c r="Z362" s="1"/>
      <c r="AA362" s="1"/>
    </row>
    <row r="363">
      <c r="D363" s="4"/>
      <c r="H363" s="1"/>
      <c r="I363" s="1"/>
      <c r="Q363" s="1"/>
      <c r="R363" s="1"/>
      <c r="U363" s="125"/>
      <c r="V363" s="111"/>
      <c r="W363" s="112"/>
      <c r="X363" s="113"/>
      <c r="Z363" s="1"/>
      <c r="AA363" s="1"/>
    </row>
    <row r="364">
      <c r="D364" s="4"/>
      <c r="H364" s="1"/>
      <c r="I364" s="1"/>
      <c r="Q364" s="1"/>
      <c r="R364" s="1"/>
      <c r="U364" s="125"/>
      <c r="V364" s="111"/>
      <c r="W364" s="112"/>
      <c r="X364" s="113"/>
      <c r="Z364" s="1"/>
      <c r="AA364" s="1"/>
    </row>
    <row r="365">
      <c r="D365" s="4"/>
      <c r="H365" s="1"/>
      <c r="I365" s="1"/>
      <c r="Q365" s="1"/>
      <c r="R365" s="1"/>
      <c r="U365" s="125"/>
      <c r="V365" s="111"/>
      <c r="W365" s="112"/>
      <c r="X365" s="113"/>
      <c r="Z365" s="1"/>
      <c r="AA365" s="1"/>
    </row>
    <row r="366">
      <c r="D366" s="4"/>
      <c r="H366" s="1"/>
      <c r="I366" s="1"/>
      <c r="Q366" s="1"/>
      <c r="R366" s="1"/>
      <c r="U366" s="125"/>
      <c r="V366" s="111"/>
      <c r="W366" s="112"/>
      <c r="X366" s="113"/>
      <c r="Z366" s="1"/>
      <c r="AA366" s="1"/>
    </row>
    <row r="367">
      <c r="D367" s="4"/>
      <c r="H367" s="1"/>
      <c r="I367" s="1"/>
      <c r="Q367" s="1"/>
      <c r="R367" s="1"/>
      <c r="U367" s="125"/>
      <c r="V367" s="111"/>
      <c r="W367" s="112"/>
      <c r="X367" s="113"/>
      <c r="Z367" s="1"/>
      <c r="AA367" s="1"/>
    </row>
    <row r="368">
      <c r="D368" s="4"/>
      <c r="H368" s="1"/>
      <c r="I368" s="1"/>
      <c r="Q368" s="1"/>
      <c r="R368" s="1"/>
      <c r="U368" s="125"/>
      <c r="V368" s="111"/>
      <c r="W368" s="112"/>
      <c r="X368" s="113"/>
      <c r="Z368" s="1"/>
      <c r="AA368" s="1"/>
    </row>
    <row r="369">
      <c r="D369" s="4"/>
      <c r="H369" s="1"/>
      <c r="I369" s="1"/>
      <c r="Q369" s="1"/>
      <c r="R369" s="1"/>
      <c r="U369" s="125"/>
      <c r="V369" s="111"/>
      <c r="W369" s="112"/>
      <c r="X369" s="113"/>
      <c r="Z369" s="1"/>
      <c r="AA369" s="1"/>
    </row>
    <row r="370">
      <c r="D370" s="4"/>
      <c r="H370" s="1"/>
      <c r="I370" s="1"/>
      <c r="Q370" s="1"/>
      <c r="R370" s="1"/>
      <c r="U370" s="125"/>
      <c r="V370" s="111"/>
      <c r="W370" s="112"/>
      <c r="X370" s="113"/>
      <c r="Z370" s="1"/>
      <c r="AA370" s="1"/>
    </row>
    <row r="371">
      <c r="D371" s="4"/>
      <c r="H371" s="1"/>
      <c r="I371" s="1"/>
      <c r="Q371" s="1"/>
      <c r="R371" s="1"/>
      <c r="U371" s="125"/>
      <c r="V371" s="111"/>
      <c r="W371" s="112"/>
      <c r="X371" s="113"/>
      <c r="Z371" s="1"/>
      <c r="AA371" s="1"/>
    </row>
    <row r="372">
      <c r="D372" s="4"/>
      <c r="H372" s="1"/>
      <c r="I372" s="1"/>
      <c r="Q372" s="1"/>
      <c r="R372" s="1"/>
      <c r="U372" s="125"/>
      <c r="V372" s="111"/>
      <c r="W372" s="112"/>
      <c r="X372" s="113"/>
      <c r="Z372" s="1"/>
      <c r="AA372" s="1"/>
    </row>
    <row r="373">
      <c r="D373" s="4"/>
      <c r="H373" s="1"/>
      <c r="I373" s="1"/>
      <c r="Q373" s="1"/>
      <c r="R373" s="1"/>
      <c r="U373" s="125"/>
      <c r="V373" s="111"/>
      <c r="W373" s="112"/>
      <c r="X373" s="113"/>
      <c r="Z373" s="1"/>
      <c r="AA373" s="1"/>
    </row>
    <row r="374">
      <c r="D374" s="4"/>
      <c r="H374" s="1"/>
      <c r="I374" s="1"/>
      <c r="Q374" s="1"/>
      <c r="R374" s="1"/>
      <c r="U374" s="125"/>
      <c r="V374" s="111"/>
      <c r="W374" s="112"/>
      <c r="X374" s="113"/>
      <c r="Z374" s="1"/>
      <c r="AA374" s="1"/>
    </row>
    <row r="375">
      <c r="D375" s="4"/>
      <c r="H375" s="1"/>
      <c r="I375" s="1"/>
      <c r="Q375" s="1"/>
      <c r="R375" s="1"/>
      <c r="U375" s="125"/>
      <c r="V375" s="111"/>
      <c r="W375" s="112"/>
      <c r="X375" s="113"/>
      <c r="Z375" s="1"/>
      <c r="AA375" s="1"/>
    </row>
    <row r="376">
      <c r="D376" s="4"/>
      <c r="H376" s="1"/>
      <c r="I376" s="1"/>
      <c r="Q376" s="1"/>
      <c r="R376" s="1"/>
      <c r="U376" s="125"/>
      <c r="V376" s="111"/>
      <c r="W376" s="112"/>
      <c r="X376" s="113"/>
      <c r="Z376" s="1"/>
      <c r="AA376" s="1"/>
    </row>
    <row r="377">
      <c r="D377" s="4"/>
      <c r="H377" s="1"/>
      <c r="I377" s="1"/>
      <c r="Q377" s="1"/>
      <c r="R377" s="1"/>
      <c r="U377" s="125"/>
      <c r="V377" s="111"/>
      <c r="W377" s="112"/>
      <c r="X377" s="113"/>
      <c r="Z377" s="1"/>
      <c r="AA377" s="1"/>
    </row>
    <row r="378">
      <c r="D378" s="4"/>
      <c r="H378" s="1"/>
      <c r="I378" s="1"/>
      <c r="Q378" s="1"/>
      <c r="R378" s="1"/>
      <c r="U378" s="125"/>
      <c r="V378" s="111"/>
      <c r="W378" s="112"/>
      <c r="X378" s="113"/>
      <c r="Z378" s="1"/>
      <c r="AA378" s="1"/>
    </row>
    <row r="379">
      <c r="D379" s="4"/>
      <c r="H379" s="1"/>
      <c r="I379" s="1"/>
      <c r="Q379" s="1"/>
      <c r="R379" s="1"/>
      <c r="U379" s="125"/>
      <c r="V379" s="111"/>
      <c r="W379" s="112"/>
      <c r="X379" s="113"/>
      <c r="Z379" s="1"/>
      <c r="AA379" s="1"/>
    </row>
    <row r="380">
      <c r="D380" s="4"/>
      <c r="H380" s="1"/>
      <c r="I380" s="1"/>
      <c r="Q380" s="1"/>
      <c r="R380" s="1"/>
      <c r="U380" s="125"/>
      <c r="V380" s="111"/>
      <c r="W380" s="112"/>
      <c r="X380" s="113"/>
      <c r="Z380" s="1"/>
      <c r="AA380" s="1"/>
    </row>
    <row r="381">
      <c r="D381" s="4"/>
      <c r="H381" s="1"/>
      <c r="I381" s="1"/>
      <c r="Q381" s="1"/>
      <c r="R381" s="1"/>
      <c r="U381" s="125"/>
      <c r="V381" s="111"/>
      <c r="W381" s="112"/>
      <c r="X381" s="113"/>
      <c r="Z381" s="1"/>
      <c r="AA381" s="1"/>
    </row>
    <row r="382">
      <c r="D382" s="4"/>
      <c r="H382" s="1"/>
      <c r="I382" s="1"/>
      <c r="Q382" s="1"/>
      <c r="R382" s="1"/>
      <c r="U382" s="125"/>
      <c r="V382" s="111"/>
      <c r="W382" s="112"/>
      <c r="X382" s="113"/>
      <c r="Z382" s="1"/>
      <c r="AA382" s="1"/>
    </row>
    <row r="383">
      <c r="D383" s="4"/>
      <c r="H383" s="1"/>
      <c r="I383" s="1"/>
      <c r="Q383" s="1"/>
      <c r="R383" s="1"/>
      <c r="U383" s="125"/>
      <c r="V383" s="111"/>
      <c r="W383" s="112"/>
      <c r="X383" s="113"/>
      <c r="Z383" s="1"/>
      <c r="AA383" s="1"/>
    </row>
    <row r="384">
      <c r="D384" s="4"/>
      <c r="H384" s="1"/>
      <c r="I384" s="1"/>
      <c r="Q384" s="1"/>
      <c r="R384" s="1"/>
      <c r="U384" s="125"/>
      <c r="V384" s="111"/>
      <c r="W384" s="112"/>
      <c r="X384" s="113"/>
      <c r="Z384" s="1"/>
      <c r="AA384" s="1"/>
    </row>
    <row r="385">
      <c r="D385" s="4"/>
      <c r="H385" s="1"/>
      <c r="I385" s="1"/>
      <c r="Q385" s="1"/>
      <c r="R385" s="1"/>
      <c r="U385" s="125"/>
      <c r="V385" s="111"/>
      <c r="W385" s="112"/>
      <c r="X385" s="113"/>
      <c r="Z385" s="1"/>
      <c r="AA385" s="1"/>
    </row>
    <row r="386">
      <c r="D386" s="4"/>
      <c r="H386" s="1"/>
      <c r="I386" s="1"/>
      <c r="Q386" s="1"/>
      <c r="R386" s="1"/>
      <c r="U386" s="125"/>
      <c r="V386" s="111"/>
      <c r="W386" s="112"/>
      <c r="X386" s="113"/>
      <c r="Z386" s="1"/>
      <c r="AA386" s="1"/>
    </row>
    <row r="387">
      <c r="D387" s="4"/>
      <c r="H387" s="1"/>
      <c r="I387" s="1"/>
      <c r="Q387" s="1"/>
      <c r="R387" s="1"/>
      <c r="U387" s="125"/>
      <c r="V387" s="111"/>
      <c r="W387" s="112"/>
      <c r="X387" s="113"/>
      <c r="Z387" s="1"/>
      <c r="AA387" s="1"/>
    </row>
    <row r="388">
      <c r="D388" s="4"/>
      <c r="H388" s="1"/>
      <c r="I388" s="1"/>
      <c r="Q388" s="1"/>
      <c r="R388" s="1"/>
      <c r="U388" s="125"/>
      <c r="V388" s="111"/>
      <c r="W388" s="112"/>
      <c r="X388" s="113"/>
      <c r="Z388" s="1"/>
      <c r="AA388" s="1"/>
    </row>
    <row r="389">
      <c r="D389" s="4"/>
      <c r="H389" s="1"/>
      <c r="I389" s="1"/>
      <c r="Q389" s="1"/>
      <c r="R389" s="1"/>
      <c r="U389" s="125"/>
      <c r="V389" s="111"/>
      <c r="W389" s="112"/>
      <c r="X389" s="113"/>
      <c r="Z389" s="1"/>
      <c r="AA389" s="1"/>
    </row>
    <row r="390">
      <c r="D390" s="4"/>
      <c r="H390" s="1"/>
      <c r="I390" s="1"/>
      <c r="Q390" s="1"/>
      <c r="R390" s="1"/>
      <c r="U390" s="125"/>
      <c r="V390" s="111"/>
      <c r="W390" s="112"/>
      <c r="X390" s="113"/>
      <c r="Z390" s="1"/>
      <c r="AA390" s="1"/>
    </row>
    <row r="391">
      <c r="D391" s="4"/>
      <c r="H391" s="1"/>
      <c r="I391" s="1"/>
      <c r="Q391" s="1"/>
      <c r="R391" s="1"/>
      <c r="U391" s="125"/>
      <c r="V391" s="111"/>
      <c r="W391" s="112"/>
      <c r="X391" s="113"/>
      <c r="Z391" s="1"/>
      <c r="AA391" s="1"/>
    </row>
    <row r="392">
      <c r="D392" s="4"/>
      <c r="H392" s="1"/>
      <c r="I392" s="1"/>
      <c r="Q392" s="1"/>
      <c r="R392" s="1"/>
      <c r="U392" s="125"/>
      <c r="V392" s="111"/>
      <c r="W392" s="112"/>
      <c r="X392" s="113"/>
      <c r="Z392" s="1"/>
      <c r="AA392" s="1"/>
    </row>
    <row r="393">
      <c r="D393" s="4"/>
      <c r="H393" s="1"/>
      <c r="I393" s="1"/>
      <c r="Q393" s="1"/>
      <c r="R393" s="1"/>
      <c r="U393" s="125"/>
      <c r="V393" s="111"/>
      <c r="W393" s="112"/>
      <c r="X393" s="113"/>
      <c r="Z393" s="1"/>
      <c r="AA393" s="1"/>
    </row>
    <row r="394">
      <c r="D394" s="4"/>
      <c r="H394" s="1"/>
      <c r="I394" s="1"/>
      <c r="Q394" s="1"/>
      <c r="R394" s="1"/>
      <c r="U394" s="125"/>
      <c r="V394" s="111"/>
      <c r="W394" s="112"/>
      <c r="X394" s="113"/>
      <c r="Z394" s="1"/>
      <c r="AA394" s="1"/>
    </row>
    <row r="395">
      <c r="D395" s="4"/>
      <c r="H395" s="1"/>
      <c r="I395" s="1"/>
      <c r="Q395" s="1"/>
      <c r="R395" s="1"/>
      <c r="U395" s="125"/>
      <c r="V395" s="111"/>
      <c r="W395" s="112"/>
      <c r="X395" s="113"/>
      <c r="Z395" s="1"/>
      <c r="AA395" s="1"/>
    </row>
    <row r="396">
      <c r="D396" s="4"/>
      <c r="H396" s="1"/>
      <c r="I396" s="1"/>
      <c r="Q396" s="1"/>
      <c r="R396" s="1"/>
      <c r="U396" s="125"/>
      <c r="V396" s="111"/>
      <c r="W396" s="112"/>
      <c r="X396" s="113"/>
      <c r="Z396" s="1"/>
      <c r="AA396" s="1"/>
    </row>
    <row r="397">
      <c r="D397" s="4"/>
      <c r="H397" s="1"/>
      <c r="I397" s="1"/>
      <c r="Q397" s="1"/>
      <c r="R397" s="1"/>
      <c r="U397" s="125"/>
      <c r="V397" s="111"/>
      <c r="W397" s="112"/>
      <c r="X397" s="113"/>
      <c r="Z397" s="1"/>
      <c r="AA397" s="1"/>
    </row>
    <row r="398">
      <c r="D398" s="4"/>
      <c r="H398" s="1"/>
      <c r="I398" s="1"/>
      <c r="Q398" s="1"/>
      <c r="R398" s="1"/>
      <c r="U398" s="125"/>
      <c r="V398" s="111"/>
      <c r="W398" s="112"/>
      <c r="X398" s="113"/>
      <c r="Z398" s="1"/>
      <c r="AA398" s="1"/>
    </row>
    <row r="399">
      <c r="D399" s="4"/>
      <c r="H399" s="1"/>
      <c r="I399" s="1"/>
      <c r="Q399" s="1"/>
      <c r="R399" s="1"/>
      <c r="U399" s="125"/>
      <c r="V399" s="111"/>
      <c r="W399" s="112"/>
      <c r="X399" s="113"/>
      <c r="Z399" s="1"/>
      <c r="AA399" s="1"/>
    </row>
    <row r="400">
      <c r="D400" s="4"/>
      <c r="H400" s="1"/>
      <c r="I400" s="1"/>
      <c r="Q400" s="1"/>
      <c r="R400" s="1"/>
      <c r="U400" s="125"/>
      <c r="V400" s="111"/>
      <c r="W400" s="112"/>
      <c r="X400" s="113"/>
      <c r="Z400" s="1"/>
      <c r="AA400" s="1"/>
    </row>
    <row r="401">
      <c r="D401" s="4"/>
      <c r="H401" s="1"/>
      <c r="I401" s="1"/>
      <c r="Q401" s="1"/>
      <c r="R401" s="1"/>
      <c r="U401" s="125"/>
      <c r="V401" s="111"/>
      <c r="W401" s="112"/>
      <c r="X401" s="113"/>
      <c r="Z401" s="1"/>
      <c r="AA401" s="1"/>
    </row>
    <row r="402">
      <c r="D402" s="4"/>
      <c r="H402" s="1"/>
      <c r="I402" s="1"/>
      <c r="Q402" s="1"/>
      <c r="R402" s="1"/>
      <c r="U402" s="125"/>
      <c r="V402" s="111"/>
      <c r="W402" s="112"/>
      <c r="X402" s="113"/>
      <c r="Z402" s="1"/>
      <c r="AA402" s="1"/>
    </row>
    <row r="403">
      <c r="D403" s="4"/>
      <c r="H403" s="1"/>
      <c r="I403" s="1"/>
      <c r="Q403" s="1"/>
      <c r="R403" s="1"/>
      <c r="U403" s="125"/>
      <c r="V403" s="111"/>
      <c r="W403" s="112"/>
      <c r="X403" s="113"/>
      <c r="Z403" s="1"/>
      <c r="AA403" s="1"/>
    </row>
    <row r="404">
      <c r="D404" s="4"/>
      <c r="H404" s="1"/>
      <c r="I404" s="1"/>
      <c r="Q404" s="1"/>
      <c r="R404" s="1"/>
      <c r="U404" s="125"/>
      <c r="V404" s="111"/>
      <c r="W404" s="112"/>
      <c r="X404" s="113"/>
      <c r="Z404" s="1"/>
      <c r="AA404" s="1"/>
    </row>
    <row r="405">
      <c r="D405" s="4"/>
      <c r="H405" s="1"/>
      <c r="I405" s="1"/>
      <c r="Q405" s="1"/>
      <c r="R405" s="1"/>
      <c r="U405" s="125"/>
      <c r="V405" s="111"/>
      <c r="W405" s="112"/>
      <c r="X405" s="113"/>
      <c r="Z405" s="1"/>
      <c r="AA405" s="1"/>
    </row>
    <row r="406">
      <c r="D406" s="4"/>
      <c r="H406" s="1"/>
      <c r="I406" s="1"/>
      <c r="Q406" s="1"/>
      <c r="R406" s="1"/>
      <c r="U406" s="125"/>
      <c r="V406" s="111"/>
      <c r="W406" s="112"/>
      <c r="X406" s="113"/>
      <c r="Z406" s="1"/>
      <c r="AA406" s="1"/>
    </row>
    <row r="407">
      <c r="D407" s="4"/>
      <c r="H407" s="1"/>
      <c r="I407" s="1"/>
      <c r="Q407" s="1"/>
      <c r="R407" s="1"/>
      <c r="U407" s="125"/>
      <c r="V407" s="111"/>
      <c r="W407" s="112"/>
      <c r="X407" s="113"/>
      <c r="Z407" s="1"/>
      <c r="AA407" s="1"/>
    </row>
    <row r="408">
      <c r="D408" s="4"/>
      <c r="H408" s="1"/>
      <c r="I408" s="1"/>
      <c r="Q408" s="1"/>
      <c r="R408" s="1"/>
      <c r="U408" s="125"/>
      <c r="V408" s="111"/>
      <c r="W408" s="112"/>
      <c r="X408" s="113"/>
      <c r="Z408" s="1"/>
      <c r="AA408" s="1"/>
    </row>
    <row r="409">
      <c r="D409" s="4"/>
      <c r="H409" s="1"/>
      <c r="I409" s="1"/>
      <c r="Q409" s="1"/>
      <c r="R409" s="1"/>
      <c r="U409" s="125"/>
      <c r="V409" s="111"/>
      <c r="W409" s="112"/>
      <c r="X409" s="113"/>
      <c r="Z409" s="1"/>
      <c r="AA409" s="1"/>
    </row>
    <row r="410">
      <c r="D410" s="4"/>
      <c r="H410" s="1"/>
      <c r="I410" s="1"/>
      <c r="Q410" s="1"/>
      <c r="R410" s="1"/>
      <c r="U410" s="125"/>
      <c r="V410" s="111"/>
      <c r="W410" s="112"/>
      <c r="X410" s="113"/>
      <c r="Z410" s="1"/>
      <c r="AA410" s="1"/>
    </row>
    <row r="411">
      <c r="D411" s="4"/>
      <c r="H411" s="1"/>
      <c r="I411" s="1"/>
      <c r="Q411" s="1"/>
      <c r="R411" s="1"/>
      <c r="U411" s="125"/>
      <c r="V411" s="111"/>
      <c r="W411" s="112"/>
      <c r="X411" s="113"/>
      <c r="Z411" s="1"/>
      <c r="AA411" s="1"/>
    </row>
    <row r="412">
      <c r="D412" s="4"/>
      <c r="H412" s="1"/>
      <c r="I412" s="1"/>
      <c r="Q412" s="1"/>
      <c r="R412" s="1"/>
      <c r="U412" s="125"/>
      <c r="V412" s="111"/>
      <c r="W412" s="112"/>
      <c r="X412" s="113"/>
      <c r="Z412" s="1"/>
      <c r="AA412" s="1"/>
    </row>
    <row r="413">
      <c r="D413" s="4"/>
      <c r="H413" s="1"/>
      <c r="I413" s="1"/>
      <c r="Q413" s="1"/>
      <c r="R413" s="1"/>
      <c r="U413" s="125"/>
      <c r="V413" s="111"/>
      <c r="W413" s="112"/>
      <c r="X413" s="113"/>
      <c r="Z413" s="1"/>
      <c r="AA413" s="1"/>
    </row>
    <row r="414">
      <c r="D414" s="4"/>
      <c r="H414" s="1"/>
      <c r="I414" s="1"/>
      <c r="Q414" s="1"/>
      <c r="R414" s="1"/>
      <c r="U414" s="125"/>
      <c r="V414" s="111"/>
      <c r="W414" s="112"/>
      <c r="X414" s="113"/>
      <c r="Z414" s="1"/>
      <c r="AA414" s="1"/>
    </row>
    <row r="415">
      <c r="D415" s="4"/>
      <c r="H415" s="1"/>
      <c r="I415" s="1"/>
      <c r="Q415" s="1"/>
      <c r="R415" s="1"/>
      <c r="U415" s="125"/>
      <c r="V415" s="111"/>
      <c r="W415" s="112"/>
      <c r="X415" s="113"/>
      <c r="Z415" s="1"/>
      <c r="AA415" s="1"/>
    </row>
    <row r="416">
      <c r="D416" s="4"/>
      <c r="H416" s="1"/>
      <c r="I416" s="1"/>
      <c r="Q416" s="1"/>
      <c r="R416" s="1"/>
      <c r="U416" s="125"/>
      <c r="V416" s="111"/>
      <c r="W416" s="112"/>
      <c r="X416" s="113"/>
      <c r="Z416" s="1"/>
      <c r="AA416" s="1"/>
    </row>
    <row r="417">
      <c r="D417" s="4"/>
      <c r="H417" s="1"/>
      <c r="I417" s="1"/>
      <c r="Q417" s="1"/>
      <c r="R417" s="1"/>
      <c r="U417" s="125"/>
      <c r="V417" s="111"/>
      <c r="W417" s="112"/>
      <c r="X417" s="113"/>
      <c r="Z417" s="1"/>
      <c r="AA417" s="1"/>
    </row>
    <row r="418">
      <c r="D418" s="4"/>
      <c r="H418" s="1"/>
      <c r="I418" s="1"/>
      <c r="Q418" s="1"/>
      <c r="R418" s="1"/>
      <c r="U418" s="125"/>
      <c r="V418" s="111"/>
      <c r="W418" s="112"/>
      <c r="X418" s="113"/>
      <c r="Z418" s="1"/>
      <c r="AA418" s="1"/>
    </row>
    <row r="419">
      <c r="D419" s="4"/>
      <c r="H419" s="1"/>
      <c r="I419" s="1"/>
      <c r="Q419" s="1"/>
      <c r="R419" s="1"/>
      <c r="U419" s="125"/>
      <c r="V419" s="111"/>
      <c r="W419" s="112"/>
      <c r="X419" s="113"/>
      <c r="Z419" s="1"/>
      <c r="AA419" s="1"/>
    </row>
    <row r="420">
      <c r="D420" s="4"/>
      <c r="H420" s="1"/>
      <c r="I420" s="1"/>
      <c r="Q420" s="1"/>
      <c r="R420" s="1"/>
      <c r="U420" s="125"/>
      <c r="V420" s="111"/>
      <c r="W420" s="112"/>
      <c r="X420" s="113"/>
      <c r="Z420" s="1"/>
      <c r="AA420" s="1"/>
    </row>
    <row r="421">
      <c r="D421" s="4"/>
      <c r="H421" s="1"/>
      <c r="I421" s="1"/>
      <c r="Q421" s="1"/>
      <c r="R421" s="1"/>
      <c r="U421" s="125"/>
      <c r="V421" s="111"/>
      <c r="W421" s="112"/>
      <c r="X421" s="113"/>
      <c r="Z421" s="1"/>
      <c r="AA421" s="1"/>
    </row>
    <row r="422">
      <c r="D422" s="4"/>
      <c r="H422" s="1"/>
      <c r="I422" s="1"/>
      <c r="Q422" s="1"/>
      <c r="R422" s="1"/>
      <c r="U422" s="125"/>
      <c r="V422" s="111"/>
      <c r="W422" s="112"/>
      <c r="X422" s="113"/>
      <c r="Z422" s="1"/>
      <c r="AA422" s="1"/>
    </row>
    <row r="423">
      <c r="D423" s="4"/>
      <c r="H423" s="1"/>
      <c r="I423" s="1"/>
      <c r="Q423" s="1"/>
      <c r="R423" s="1"/>
      <c r="U423" s="125"/>
      <c r="V423" s="111"/>
      <c r="W423" s="112"/>
      <c r="X423" s="113"/>
      <c r="Z423" s="1"/>
      <c r="AA423" s="1"/>
    </row>
    <row r="424">
      <c r="D424" s="4"/>
      <c r="H424" s="1"/>
      <c r="I424" s="1"/>
      <c r="Q424" s="1"/>
      <c r="R424" s="1"/>
      <c r="U424" s="125"/>
      <c r="V424" s="111"/>
      <c r="W424" s="112"/>
      <c r="X424" s="113"/>
      <c r="Z424" s="1"/>
      <c r="AA424" s="1"/>
    </row>
    <row r="425">
      <c r="D425" s="4"/>
      <c r="H425" s="1"/>
      <c r="I425" s="1"/>
      <c r="Q425" s="1"/>
      <c r="R425" s="1"/>
      <c r="U425" s="125"/>
      <c r="V425" s="111"/>
      <c r="W425" s="112"/>
      <c r="X425" s="113"/>
      <c r="Z425" s="1"/>
      <c r="AA425" s="1"/>
    </row>
    <row r="426">
      <c r="D426" s="4"/>
      <c r="H426" s="1"/>
      <c r="I426" s="1"/>
      <c r="Q426" s="1"/>
      <c r="R426" s="1"/>
      <c r="U426" s="125"/>
      <c r="V426" s="111"/>
      <c r="W426" s="112"/>
      <c r="X426" s="113"/>
      <c r="Z426" s="1"/>
      <c r="AA426" s="1"/>
    </row>
    <row r="427">
      <c r="D427" s="4"/>
      <c r="H427" s="1"/>
      <c r="I427" s="1"/>
      <c r="Q427" s="1"/>
      <c r="R427" s="1"/>
      <c r="U427" s="125"/>
      <c r="V427" s="111"/>
      <c r="W427" s="112"/>
      <c r="X427" s="113"/>
      <c r="Z427" s="1"/>
      <c r="AA427" s="1"/>
    </row>
    <row r="428">
      <c r="D428" s="4"/>
      <c r="H428" s="1"/>
      <c r="I428" s="1"/>
      <c r="Q428" s="1"/>
      <c r="R428" s="1"/>
      <c r="U428" s="125"/>
      <c r="V428" s="111"/>
      <c r="W428" s="112"/>
      <c r="X428" s="113"/>
      <c r="Z428" s="1"/>
      <c r="AA428" s="1"/>
    </row>
    <row r="429">
      <c r="D429" s="4"/>
      <c r="H429" s="1"/>
      <c r="I429" s="1"/>
      <c r="Q429" s="1"/>
      <c r="R429" s="1"/>
      <c r="U429" s="125"/>
      <c r="V429" s="111"/>
      <c r="W429" s="112"/>
      <c r="X429" s="113"/>
      <c r="Z429" s="1"/>
      <c r="AA429" s="1"/>
    </row>
    <row r="430">
      <c r="D430" s="4"/>
      <c r="H430" s="1"/>
      <c r="I430" s="1"/>
      <c r="Q430" s="1"/>
      <c r="R430" s="1"/>
      <c r="U430" s="125"/>
      <c r="V430" s="111"/>
      <c r="W430" s="112"/>
      <c r="X430" s="113"/>
      <c r="Z430" s="1"/>
      <c r="AA430" s="1"/>
    </row>
    <row r="431">
      <c r="D431" s="4"/>
      <c r="H431" s="1"/>
      <c r="I431" s="1"/>
      <c r="Q431" s="1"/>
      <c r="R431" s="1"/>
      <c r="U431" s="125"/>
      <c r="V431" s="111"/>
      <c r="W431" s="112"/>
      <c r="X431" s="113"/>
      <c r="Z431" s="1"/>
      <c r="AA431" s="1"/>
    </row>
    <row r="432">
      <c r="D432" s="4"/>
      <c r="H432" s="1"/>
      <c r="I432" s="1"/>
      <c r="Q432" s="1"/>
      <c r="R432" s="1"/>
      <c r="U432" s="125"/>
      <c r="V432" s="111"/>
      <c r="W432" s="112"/>
      <c r="X432" s="113"/>
      <c r="Z432" s="1"/>
      <c r="AA432" s="1"/>
    </row>
    <row r="433">
      <c r="D433" s="4"/>
      <c r="H433" s="1"/>
      <c r="I433" s="1"/>
      <c r="Q433" s="1"/>
      <c r="R433" s="1"/>
      <c r="U433" s="125"/>
      <c r="V433" s="111"/>
      <c r="W433" s="112"/>
      <c r="X433" s="113"/>
      <c r="Z433" s="1"/>
      <c r="AA433" s="1"/>
    </row>
    <row r="434">
      <c r="D434" s="4"/>
      <c r="H434" s="1"/>
      <c r="I434" s="1"/>
      <c r="Q434" s="1"/>
      <c r="R434" s="1"/>
      <c r="U434" s="125"/>
      <c r="V434" s="111"/>
      <c r="W434" s="112"/>
      <c r="X434" s="113"/>
      <c r="Z434" s="1"/>
      <c r="AA434" s="1"/>
    </row>
    <row r="435">
      <c r="D435" s="4"/>
      <c r="H435" s="1"/>
      <c r="I435" s="1"/>
      <c r="Q435" s="1"/>
      <c r="R435" s="1"/>
      <c r="U435" s="125"/>
      <c r="V435" s="111"/>
      <c r="W435" s="112"/>
      <c r="X435" s="113"/>
      <c r="Z435" s="1"/>
      <c r="AA435" s="1"/>
    </row>
    <row r="436">
      <c r="D436" s="4"/>
      <c r="H436" s="1"/>
      <c r="I436" s="1"/>
      <c r="Q436" s="1"/>
      <c r="R436" s="1"/>
      <c r="U436" s="125"/>
      <c r="V436" s="111"/>
      <c r="W436" s="112"/>
      <c r="X436" s="113"/>
      <c r="Z436" s="1"/>
      <c r="AA436" s="1"/>
    </row>
    <row r="437">
      <c r="D437" s="4"/>
      <c r="H437" s="1"/>
      <c r="I437" s="1"/>
      <c r="Q437" s="1"/>
      <c r="R437" s="1"/>
      <c r="U437" s="125"/>
      <c r="V437" s="111"/>
      <c r="W437" s="112"/>
      <c r="X437" s="113"/>
      <c r="Z437" s="1"/>
      <c r="AA437" s="1"/>
    </row>
    <row r="438">
      <c r="D438" s="4"/>
      <c r="H438" s="1"/>
      <c r="I438" s="1"/>
      <c r="Q438" s="1"/>
      <c r="R438" s="1"/>
      <c r="U438" s="125"/>
      <c r="V438" s="111"/>
      <c r="W438" s="112"/>
      <c r="X438" s="113"/>
      <c r="Z438" s="1"/>
      <c r="AA438" s="1"/>
    </row>
    <row r="439">
      <c r="D439" s="4"/>
      <c r="H439" s="1"/>
      <c r="I439" s="1"/>
      <c r="Q439" s="1"/>
      <c r="R439" s="1"/>
      <c r="U439" s="125"/>
      <c r="V439" s="111"/>
      <c r="W439" s="112"/>
      <c r="X439" s="113"/>
      <c r="Z439" s="1"/>
      <c r="AA439" s="1"/>
    </row>
    <row r="440">
      <c r="D440" s="4"/>
      <c r="H440" s="1"/>
      <c r="I440" s="1"/>
      <c r="Q440" s="1"/>
      <c r="R440" s="1"/>
      <c r="U440" s="125"/>
      <c r="V440" s="111"/>
      <c r="W440" s="112"/>
      <c r="X440" s="113"/>
      <c r="Z440" s="1"/>
      <c r="AA440" s="1"/>
    </row>
    <row r="441">
      <c r="D441" s="4"/>
      <c r="H441" s="1"/>
      <c r="I441" s="1"/>
      <c r="Q441" s="1"/>
      <c r="R441" s="1"/>
      <c r="U441" s="125"/>
      <c r="V441" s="111"/>
      <c r="W441" s="112"/>
      <c r="X441" s="113"/>
      <c r="Z441" s="1"/>
      <c r="AA441" s="1"/>
    </row>
    <row r="442">
      <c r="D442" s="4"/>
      <c r="H442" s="1"/>
      <c r="I442" s="1"/>
      <c r="Q442" s="1"/>
      <c r="R442" s="1"/>
      <c r="U442" s="125"/>
      <c r="V442" s="111"/>
      <c r="W442" s="112"/>
      <c r="X442" s="113"/>
      <c r="Z442" s="1"/>
      <c r="AA442" s="1"/>
    </row>
    <row r="443">
      <c r="D443" s="4"/>
      <c r="H443" s="1"/>
      <c r="I443" s="1"/>
      <c r="Q443" s="1"/>
      <c r="R443" s="1"/>
      <c r="U443" s="125"/>
      <c r="V443" s="111"/>
      <c r="W443" s="112"/>
      <c r="X443" s="113"/>
      <c r="Z443" s="1"/>
      <c r="AA443" s="1"/>
    </row>
    <row r="444">
      <c r="D444" s="4"/>
      <c r="H444" s="1"/>
      <c r="I444" s="1"/>
      <c r="Q444" s="1"/>
      <c r="R444" s="1"/>
      <c r="U444" s="125"/>
      <c r="V444" s="111"/>
      <c r="W444" s="112"/>
      <c r="X444" s="113"/>
      <c r="Z444" s="1"/>
      <c r="AA444" s="1"/>
    </row>
    <row r="445">
      <c r="D445" s="4"/>
      <c r="H445" s="1"/>
      <c r="I445" s="1"/>
      <c r="Q445" s="1"/>
      <c r="R445" s="1"/>
      <c r="U445" s="125"/>
      <c r="V445" s="111"/>
      <c r="W445" s="112"/>
      <c r="X445" s="113"/>
      <c r="Z445" s="1"/>
      <c r="AA445" s="1"/>
    </row>
    <row r="446">
      <c r="D446" s="4"/>
      <c r="H446" s="1"/>
      <c r="I446" s="1"/>
      <c r="Q446" s="1"/>
      <c r="R446" s="1"/>
      <c r="U446" s="125"/>
      <c r="V446" s="111"/>
      <c r="W446" s="112"/>
      <c r="X446" s="113"/>
      <c r="Z446" s="1"/>
      <c r="AA446" s="1"/>
    </row>
    <row r="447">
      <c r="D447" s="4"/>
      <c r="H447" s="1"/>
      <c r="I447" s="1"/>
      <c r="Q447" s="1"/>
      <c r="R447" s="1"/>
      <c r="U447" s="125"/>
      <c r="V447" s="111"/>
      <c r="W447" s="112"/>
      <c r="X447" s="113"/>
      <c r="Z447" s="1"/>
      <c r="AA447" s="1"/>
    </row>
    <row r="448">
      <c r="D448" s="4"/>
      <c r="H448" s="1"/>
      <c r="I448" s="1"/>
      <c r="Q448" s="1"/>
      <c r="R448" s="1"/>
      <c r="U448" s="125"/>
      <c r="V448" s="111"/>
      <c r="W448" s="112"/>
      <c r="X448" s="113"/>
      <c r="Z448" s="1"/>
      <c r="AA448" s="1"/>
    </row>
    <row r="449">
      <c r="D449" s="4"/>
      <c r="H449" s="1"/>
      <c r="I449" s="1"/>
      <c r="Q449" s="1"/>
      <c r="R449" s="1"/>
      <c r="U449" s="125"/>
      <c r="V449" s="111"/>
      <c r="W449" s="112"/>
      <c r="X449" s="113"/>
      <c r="Z449" s="1"/>
      <c r="AA449" s="1"/>
    </row>
    <row r="450">
      <c r="D450" s="4"/>
      <c r="H450" s="1"/>
      <c r="I450" s="1"/>
      <c r="Q450" s="1"/>
      <c r="R450" s="1"/>
      <c r="U450" s="125"/>
      <c r="V450" s="111"/>
      <c r="W450" s="112"/>
      <c r="X450" s="113"/>
      <c r="Z450" s="1"/>
      <c r="AA450" s="1"/>
    </row>
    <row r="451">
      <c r="D451" s="4"/>
      <c r="H451" s="1"/>
      <c r="I451" s="1"/>
      <c r="Q451" s="1"/>
      <c r="R451" s="1"/>
      <c r="U451" s="125"/>
      <c r="V451" s="111"/>
      <c r="W451" s="112"/>
      <c r="X451" s="113"/>
      <c r="Z451" s="1"/>
      <c r="AA451" s="1"/>
    </row>
    <row r="452">
      <c r="D452" s="4"/>
      <c r="H452" s="1"/>
      <c r="I452" s="1"/>
      <c r="Q452" s="1"/>
      <c r="R452" s="1"/>
      <c r="U452" s="125"/>
      <c r="V452" s="111"/>
      <c r="W452" s="112"/>
      <c r="X452" s="113"/>
      <c r="Z452" s="1"/>
      <c r="AA452" s="1"/>
    </row>
    <row r="453">
      <c r="D453" s="4"/>
      <c r="H453" s="1"/>
      <c r="I453" s="1"/>
      <c r="Q453" s="1"/>
      <c r="R453" s="1"/>
      <c r="U453" s="125"/>
      <c r="V453" s="111"/>
      <c r="W453" s="112"/>
      <c r="X453" s="113"/>
      <c r="Z453" s="1"/>
      <c r="AA453" s="1"/>
    </row>
    <row r="454">
      <c r="D454" s="4"/>
      <c r="H454" s="1"/>
      <c r="I454" s="1"/>
      <c r="Q454" s="1"/>
      <c r="R454" s="1"/>
      <c r="U454" s="125"/>
      <c r="V454" s="111"/>
      <c r="W454" s="112"/>
      <c r="X454" s="113"/>
      <c r="Z454" s="1"/>
      <c r="AA454" s="1"/>
    </row>
    <row r="455">
      <c r="D455" s="4"/>
      <c r="H455" s="1"/>
      <c r="I455" s="1"/>
      <c r="Q455" s="1"/>
      <c r="R455" s="1"/>
      <c r="U455" s="125"/>
      <c r="V455" s="111"/>
      <c r="W455" s="112"/>
      <c r="X455" s="113"/>
      <c r="Z455" s="1"/>
      <c r="AA455" s="1"/>
    </row>
    <row r="456">
      <c r="D456" s="4"/>
      <c r="H456" s="1"/>
      <c r="I456" s="1"/>
      <c r="Q456" s="1"/>
      <c r="R456" s="1"/>
      <c r="U456" s="125"/>
      <c r="V456" s="111"/>
      <c r="W456" s="112"/>
      <c r="X456" s="113"/>
      <c r="Z456" s="1"/>
      <c r="AA456" s="1"/>
    </row>
    <row r="457">
      <c r="D457" s="4"/>
      <c r="H457" s="1"/>
      <c r="I457" s="1"/>
      <c r="Q457" s="1"/>
      <c r="R457" s="1"/>
      <c r="U457" s="125"/>
      <c r="V457" s="111"/>
      <c r="W457" s="112"/>
      <c r="X457" s="113"/>
      <c r="Z457" s="1"/>
      <c r="AA457" s="1"/>
    </row>
    <row r="458">
      <c r="D458" s="4"/>
      <c r="H458" s="1"/>
      <c r="I458" s="1"/>
      <c r="Q458" s="1"/>
      <c r="R458" s="1"/>
      <c r="U458" s="125"/>
      <c r="V458" s="111"/>
      <c r="W458" s="112"/>
      <c r="X458" s="113"/>
      <c r="Z458" s="1"/>
      <c r="AA458" s="1"/>
    </row>
    <row r="459">
      <c r="D459" s="4"/>
      <c r="H459" s="1"/>
      <c r="I459" s="1"/>
      <c r="Q459" s="1"/>
      <c r="R459" s="1"/>
      <c r="U459" s="125"/>
      <c r="V459" s="111"/>
      <c r="W459" s="112"/>
      <c r="X459" s="113"/>
      <c r="Z459" s="1"/>
      <c r="AA459" s="1"/>
    </row>
    <row r="460">
      <c r="D460" s="4"/>
      <c r="H460" s="1"/>
      <c r="I460" s="1"/>
      <c r="Q460" s="1"/>
      <c r="R460" s="1"/>
      <c r="U460" s="125"/>
      <c r="V460" s="111"/>
      <c r="W460" s="112"/>
      <c r="X460" s="113"/>
      <c r="Z460" s="1"/>
      <c r="AA460" s="1"/>
    </row>
    <row r="461">
      <c r="D461" s="4"/>
      <c r="H461" s="1"/>
      <c r="I461" s="1"/>
      <c r="Q461" s="1"/>
      <c r="R461" s="1"/>
      <c r="U461" s="125"/>
      <c r="V461" s="111"/>
      <c r="W461" s="112"/>
      <c r="X461" s="113"/>
      <c r="Z461" s="1"/>
      <c r="AA461" s="1"/>
    </row>
    <row r="462">
      <c r="D462" s="4"/>
      <c r="H462" s="1"/>
      <c r="I462" s="1"/>
      <c r="Q462" s="1"/>
      <c r="R462" s="1"/>
      <c r="U462" s="125"/>
      <c r="V462" s="111"/>
      <c r="W462" s="112"/>
      <c r="X462" s="113"/>
      <c r="Z462" s="1"/>
      <c r="AA462" s="1"/>
    </row>
    <row r="463">
      <c r="D463" s="4"/>
      <c r="H463" s="1"/>
      <c r="I463" s="1"/>
      <c r="Q463" s="1"/>
      <c r="R463" s="1"/>
      <c r="U463" s="125"/>
      <c r="V463" s="111"/>
      <c r="W463" s="112"/>
      <c r="X463" s="113"/>
      <c r="Z463" s="1"/>
      <c r="AA463" s="1"/>
    </row>
    <row r="464">
      <c r="D464" s="4"/>
      <c r="H464" s="1"/>
      <c r="I464" s="1"/>
      <c r="Q464" s="1"/>
      <c r="R464" s="1"/>
      <c r="U464" s="125"/>
      <c r="V464" s="111"/>
      <c r="W464" s="112"/>
      <c r="X464" s="113"/>
      <c r="Z464" s="1"/>
      <c r="AA464" s="1"/>
    </row>
    <row r="465">
      <c r="D465" s="4"/>
      <c r="H465" s="1"/>
      <c r="I465" s="1"/>
      <c r="Q465" s="1"/>
      <c r="R465" s="1"/>
      <c r="U465" s="125"/>
      <c r="V465" s="111"/>
      <c r="W465" s="112"/>
      <c r="X465" s="113"/>
      <c r="Z465" s="1"/>
      <c r="AA465" s="1"/>
    </row>
    <row r="466">
      <c r="D466" s="4"/>
      <c r="H466" s="1"/>
      <c r="I466" s="1"/>
      <c r="Q466" s="1"/>
      <c r="R466" s="1"/>
      <c r="U466" s="125"/>
      <c r="V466" s="111"/>
      <c r="W466" s="112"/>
      <c r="X466" s="113"/>
      <c r="Z466" s="1"/>
      <c r="AA466" s="1"/>
    </row>
    <row r="467">
      <c r="D467" s="4"/>
      <c r="H467" s="1"/>
      <c r="I467" s="1"/>
      <c r="Q467" s="1"/>
      <c r="R467" s="1"/>
      <c r="U467" s="125"/>
      <c r="V467" s="111"/>
      <c r="W467" s="112"/>
      <c r="X467" s="113"/>
      <c r="Z467" s="1"/>
      <c r="AA467" s="1"/>
    </row>
    <row r="468">
      <c r="D468" s="4"/>
      <c r="H468" s="1"/>
      <c r="I468" s="1"/>
      <c r="Q468" s="1"/>
      <c r="R468" s="1"/>
      <c r="U468" s="125"/>
      <c r="V468" s="111"/>
      <c r="W468" s="112"/>
      <c r="X468" s="113"/>
      <c r="Z468" s="1"/>
      <c r="AA468" s="1"/>
    </row>
    <row r="469">
      <c r="D469" s="4"/>
      <c r="H469" s="1"/>
      <c r="I469" s="1"/>
      <c r="Q469" s="1"/>
      <c r="R469" s="1"/>
      <c r="U469" s="125"/>
      <c r="V469" s="111"/>
      <c r="W469" s="112"/>
      <c r="X469" s="113"/>
      <c r="Z469" s="1"/>
      <c r="AA469" s="1"/>
    </row>
    <row r="470">
      <c r="D470" s="4"/>
      <c r="H470" s="1"/>
      <c r="I470" s="1"/>
      <c r="Q470" s="1"/>
      <c r="R470" s="1"/>
      <c r="U470" s="125"/>
      <c r="V470" s="111"/>
      <c r="W470" s="112"/>
      <c r="X470" s="113"/>
      <c r="Z470" s="1"/>
      <c r="AA470" s="1"/>
    </row>
    <row r="471">
      <c r="D471" s="4"/>
      <c r="H471" s="1"/>
      <c r="I471" s="1"/>
      <c r="Q471" s="1"/>
      <c r="R471" s="1"/>
      <c r="U471" s="125"/>
      <c r="V471" s="111"/>
      <c r="W471" s="112"/>
      <c r="X471" s="113"/>
      <c r="Z471" s="1"/>
      <c r="AA471" s="1"/>
    </row>
    <row r="472">
      <c r="D472" s="4"/>
      <c r="H472" s="1"/>
      <c r="I472" s="1"/>
      <c r="Q472" s="1"/>
      <c r="R472" s="1"/>
      <c r="U472" s="125"/>
      <c r="V472" s="111"/>
      <c r="W472" s="112"/>
      <c r="X472" s="113"/>
      <c r="Z472" s="1"/>
      <c r="AA472" s="1"/>
    </row>
    <row r="473">
      <c r="D473" s="4"/>
      <c r="H473" s="1"/>
      <c r="I473" s="1"/>
      <c r="Q473" s="1"/>
      <c r="R473" s="1"/>
      <c r="U473" s="125"/>
      <c r="V473" s="111"/>
      <c r="W473" s="112"/>
      <c r="X473" s="113"/>
      <c r="Z473" s="1"/>
      <c r="AA473" s="1"/>
    </row>
    <row r="474">
      <c r="D474" s="4"/>
      <c r="H474" s="1"/>
      <c r="I474" s="1"/>
      <c r="Q474" s="1"/>
      <c r="R474" s="1"/>
      <c r="U474" s="125"/>
      <c r="V474" s="111"/>
      <c r="W474" s="112"/>
      <c r="X474" s="113"/>
      <c r="Z474" s="1"/>
      <c r="AA474" s="1"/>
    </row>
    <row r="475">
      <c r="D475" s="4"/>
      <c r="H475" s="1"/>
      <c r="I475" s="1"/>
      <c r="Q475" s="1"/>
      <c r="R475" s="1"/>
      <c r="U475" s="125"/>
      <c r="V475" s="111"/>
      <c r="W475" s="112"/>
      <c r="X475" s="113"/>
      <c r="Z475" s="1"/>
      <c r="AA475" s="1"/>
    </row>
    <row r="476">
      <c r="D476" s="4"/>
      <c r="H476" s="1"/>
      <c r="I476" s="1"/>
      <c r="Q476" s="1"/>
      <c r="R476" s="1"/>
      <c r="U476" s="125"/>
      <c r="V476" s="111"/>
      <c r="W476" s="112"/>
      <c r="X476" s="113"/>
      <c r="Z476" s="1"/>
      <c r="AA476" s="1"/>
    </row>
    <row r="477">
      <c r="D477" s="4"/>
      <c r="H477" s="1"/>
      <c r="I477" s="1"/>
      <c r="Q477" s="1"/>
      <c r="R477" s="1"/>
      <c r="U477" s="125"/>
      <c r="V477" s="111"/>
      <c r="W477" s="112"/>
      <c r="X477" s="113"/>
      <c r="Z477" s="1"/>
      <c r="AA477" s="1"/>
    </row>
    <row r="478">
      <c r="D478" s="4"/>
      <c r="H478" s="1"/>
      <c r="I478" s="1"/>
      <c r="Q478" s="1"/>
      <c r="R478" s="1"/>
      <c r="U478" s="125"/>
      <c r="V478" s="111"/>
      <c r="W478" s="112"/>
      <c r="X478" s="113"/>
      <c r="Z478" s="1"/>
      <c r="AA478" s="1"/>
    </row>
    <row r="479">
      <c r="D479" s="4"/>
      <c r="H479" s="1"/>
      <c r="I479" s="1"/>
      <c r="Q479" s="1"/>
      <c r="R479" s="1"/>
      <c r="U479" s="125"/>
      <c r="V479" s="111"/>
      <c r="W479" s="112"/>
      <c r="X479" s="113"/>
      <c r="Z479" s="1"/>
      <c r="AA479" s="1"/>
    </row>
    <row r="480">
      <c r="D480" s="4"/>
      <c r="H480" s="1"/>
      <c r="I480" s="1"/>
      <c r="Q480" s="1"/>
      <c r="R480" s="1"/>
      <c r="U480" s="125"/>
      <c r="V480" s="111"/>
      <c r="W480" s="112"/>
      <c r="X480" s="113"/>
      <c r="Z480" s="1"/>
      <c r="AA480" s="1"/>
    </row>
    <row r="481">
      <c r="D481" s="4"/>
      <c r="H481" s="1"/>
      <c r="I481" s="1"/>
      <c r="Q481" s="1"/>
      <c r="R481" s="1"/>
      <c r="U481" s="125"/>
      <c r="V481" s="111"/>
      <c r="W481" s="112"/>
      <c r="X481" s="113"/>
      <c r="Z481" s="1"/>
      <c r="AA481" s="1"/>
    </row>
    <row r="482">
      <c r="D482" s="4"/>
      <c r="H482" s="1"/>
      <c r="I482" s="1"/>
      <c r="Q482" s="1"/>
      <c r="R482" s="1"/>
      <c r="U482" s="125"/>
      <c r="V482" s="111"/>
      <c r="W482" s="112"/>
      <c r="X482" s="113"/>
      <c r="Z482" s="1"/>
      <c r="AA482" s="1"/>
    </row>
    <row r="483">
      <c r="D483" s="4"/>
      <c r="H483" s="1"/>
      <c r="I483" s="1"/>
      <c r="Q483" s="1"/>
      <c r="R483" s="1"/>
      <c r="U483" s="125"/>
      <c r="V483" s="111"/>
      <c r="W483" s="112"/>
      <c r="X483" s="113"/>
      <c r="Z483" s="1"/>
      <c r="AA483" s="1"/>
    </row>
    <row r="484">
      <c r="D484" s="4"/>
      <c r="H484" s="1"/>
      <c r="I484" s="1"/>
      <c r="Q484" s="1"/>
      <c r="R484" s="1"/>
      <c r="U484" s="125"/>
      <c r="V484" s="111"/>
      <c r="W484" s="112"/>
      <c r="X484" s="113"/>
      <c r="Z484" s="1"/>
      <c r="AA484" s="1"/>
    </row>
    <row r="485">
      <c r="D485" s="4"/>
      <c r="H485" s="1"/>
      <c r="I485" s="1"/>
      <c r="Q485" s="1"/>
      <c r="R485" s="1"/>
      <c r="U485" s="125"/>
      <c r="V485" s="111"/>
      <c r="W485" s="112"/>
      <c r="X485" s="113"/>
      <c r="Z485" s="1"/>
      <c r="AA485" s="1"/>
    </row>
    <row r="486">
      <c r="D486" s="4"/>
      <c r="H486" s="1"/>
      <c r="I486" s="1"/>
      <c r="Q486" s="1"/>
      <c r="R486" s="1"/>
      <c r="U486" s="125"/>
      <c r="V486" s="111"/>
      <c r="W486" s="112"/>
      <c r="X486" s="113"/>
      <c r="Z486" s="1"/>
      <c r="AA486" s="1"/>
    </row>
    <row r="487">
      <c r="D487" s="4"/>
      <c r="H487" s="1"/>
      <c r="I487" s="1"/>
      <c r="Q487" s="1"/>
      <c r="R487" s="1"/>
      <c r="U487" s="125"/>
      <c r="V487" s="111"/>
      <c r="W487" s="112"/>
      <c r="X487" s="113"/>
      <c r="Z487" s="1"/>
      <c r="AA487" s="1"/>
    </row>
    <row r="488">
      <c r="D488" s="4"/>
      <c r="H488" s="1"/>
      <c r="I488" s="1"/>
      <c r="Q488" s="1"/>
      <c r="R488" s="1"/>
      <c r="U488" s="125"/>
      <c r="V488" s="111"/>
      <c r="W488" s="112"/>
      <c r="X488" s="113"/>
      <c r="Z488" s="1"/>
      <c r="AA488" s="1"/>
    </row>
    <row r="489">
      <c r="D489" s="4"/>
      <c r="H489" s="1"/>
      <c r="I489" s="1"/>
      <c r="Q489" s="1"/>
      <c r="R489" s="1"/>
      <c r="U489" s="125"/>
      <c r="V489" s="111"/>
      <c r="W489" s="112"/>
      <c r="X489" s="113"/>
      <c r="Z489" s="1"/>
      <c r="AA489" s="1"/>
    </row>
    <row r="490">
      <c r="D490" s="4"/>
      <c r="H490" s="1"/>
      <c r="I490" s="1"/>
      <c r="Q490" s="1"/>
      <c r="R490" s="1"/>
      <c r="U490" s="125"/>
      <c r="V490" s="111"/>
      <c r="W490" s="112"/>
      <c r="X490" s="113"/>
      <c r="Z490" s="1"/>
      <c r="AA490" s="1"/>
    </row>
    <row r="491">
      <c r="D491" s="4"/>
      <c r="H491" s="1"/>
      <c r="I491" s="1"/>
      <c r="Q491" s="1"/>
      <c r="R491" s="1"/>
      <c r="U491" s="125"/>
      <c r="V491" s="111"/>
      <c r="W491" s="112"/>
      <c r="X491" s="113"/>
      <c r="Z491" s="1"/>
      <c r="AA491" s="1"/>
    </row>
    <row r="492">
      <c r="D492" s="4"/>
      <c r="H492" s="1"/>
      <c r="I492" s="1"/>
      <c r="Q492" s="1"/>
      <c r="R492" s="1"/>
      <c r="U492" s="125"/>
      <c r="V492" s="111"/>
      <c r="W492" s="112"/>
      <c r="X492" s="113"/>
      <c r="Z492" s="1"/>
      <c r="AA492" s="1"/>
    </row>
    <row r="493">
      <c r="D493" s="4"/>
      <c r="H493" s="1"/>
      <c r="I493" s="1"/>
      <c r="Q493" s="1"/>
      <c r="R493" s="1"/>
      <c r="U493" s="125"/>
      <c r="V493" s="111"/>
      <c r="W493" s="112"/>
      <c r="X493" s="113"/>
      <c r="Z493" s="1"/>
      <c r="AA493" s="1"/>
    </row>
    <row r="494">
      <c r="D494" s="4"/>
      <c r="H494" s="1"/>
      <c r="I494" s="1"/>
      <c r="Q494" s="1"/>
      <c r="R494" s="1"/>
      <c r="U494" s="125"/>
      <c r="V494" s="111"/>
      <c r="W494" s="112"/>
      <c r="X494" s="113"/>
      <c r="Z494" s="1"/>
      <c r="AA494" s="1"/>
    </row>
    <row r="495">
      <c r="D495" s="4"/>
      <c r="H495" s="1"/>
      <c r="I495" s="1"/>
      <c r="Q495" s="1"/>
      <c r="R495" s="1"/>
      <c r="U495" s="125"/>
      <c r="V495" s="111"/>
      <c r="W495" s="112"/>
      <c r="X495" s="113"/>
      <c r="Z495" s="1"/>
      <c r="AA495" s="1"/>
    </row>
    <row r="496">
      <c r="D496" s="4"/>
      <c r="H496" s="1"/>
      <c r="I496" s="1"/>
      <c r="Q496" s="1"/>
      <c r="R496" s="1"/>
      <c r="U496" s="125"/>
      <c r="V496" s="111"/>
      <c r="W496" s="112"/>
      <c r="X496" s="113"/>
      <c r="Z496" s="1"/>
      <c r="AA496" s="1"/>
    </row>
    <row r="497">
      <c r="D497" s="4"/>
      <c r="H497" s="1"/>
      <c r="I497" s="1"/>
      <c r="Q497" s="1"/>
      <c r="R497" s="1"/>
      <c r="U497" s="125"/>
      <c r="V497" s="111"/>
      <c r="W497" s="112"/>
      <c r="X497" s="113"/>
      <c r="Z497" s="1"/>
      <c r="AA497" s="1"/>
    </row>
    <row r="498">
      <c r="D498" s="4"/>
      <c r="H498" s="1"/>
      <c r="I498" s="1"/>
      <c r="Q498" s="1"/>
      <c r="R498" s="1"/>
      <c r="U498" s="125"/>
      <c r="V498" s="111"/>
      <c r="W498" s="112"/>
      <c r="X498" s="113"/>
      <c r="Z498" s="1"/>
      <c r="AA498" s="1"/>
    </row>
    <row r="499">
      <c r="D499" s="4"/>
      <c r="H499" s="1"/>
      <c r="I499" s="1"/>
      <c r="Q499" s="1"/>
      <c r="R499" s="1"/>
      <c r="U499" s="125"/>
      <c r="V499" s="111"/>
      <c r="W499" s="112"/>
      <c r="X499" s="113"/>
      <c r="Z499" s="1"/>
      <c r="AA499" s="1"/>
    </row>
    <row r="500">
      <c r="D500" s="4"/>
      <c r="H500" s="1"/>
      <c r="I500" s="1"/>
      <c r="Q500" s="1"/>
      <c r="R500" s="1"/>
      <c r="U500" s="125"/>
      <c r="V500" s="111"/>
      <c r="W500" s="112"/>
      <c r="X500" s="113"/>
      <c r="Z500" s="1"/>
      <c r="AA500" s="1"/>
    </row>
    <row r="501">
      <c r="D501" s="4"/>
      <c r="H501" s="1"/>
      <c r="I501" s="1"/>
      <c r="Q501" s="1"/>
      <c r="R501" s="1"/>
      <c r="U501" s="125"/>
      <c r="V501" s="111"/>
      <c r="W501" s="112"/>
      <c r="X501" s="113"/>
      <c r="Z501" s="1"/>
      <c r="AA501" s="1"/>
    </row>
    <row r="502">
      <c r="D502" s="4"/>
      <c r="H502" s="1"/>
      <c r="I502" s="1"/>
      <c r="Q502" s="1"/>
      <c r="R502" s="1"/>
      <c r="U502" s="125"/>
      <c r="V502" s="111"/>
      <c r="W502" s="112"/>
      <c r="X502" s="113"/>
      <c r="Z502" s="1"/>
      <c r="AA502" s="1"/>
    </row>
    <row r="503">
      <c r="D503" s="4"/>
      <c r="H503" s="1"/>
      <c r="I503" s="1"/>
      <c r="Q503" s="1"/>
      <c r="R503" s="1"/>
      <c r="U503" s="125"/>
      <c r="V503" s="111"/>
      <c r="W503" s="112"/>
      <c r="X503" s="113"/>
      <c r="Z503" s="1"/>
      <c r="AA503" s="1"/>
    </row>
    <row r="504">
      <c r="D504" s="4"/>
      <c r="H504" s="1"/>
      <c r="I504" s="1"/>
      <c r="Q504" s="1"/>
      <c r="R504" s="1"/>
      <c r="U504" s="125"/>
      <c r="V504" s="111"/>
      <c r="W504" s="112"/>
      <c r="X504" s="113"/>
      <c r="Z504" s="1"/>
      <c r="AA504" s="1"/>
    </row>
    <row r="505">
      <c r="D505" s="4"/>
      <c r="H505" s="1"/>
      <c r="I505" s="1"/>
      <c r="Q505" s="1"/>
      <c r="R505" s="1"/>
      <c r="U505" s="125"/>
      <c r="V505" s="111"/>
      <c r="W505" s="112"/>
      <c r="X505" s="113"/>
      <c r="Z505" s="1"/>
      <c r="AA505" s="1"/>
    </row>
    <row r="506">
      <c r="D506" s="4"/>
      <c r="H506" s="1"/>
      <c r="I506" s="1"/>
      <c r="Q506" s="1"/>
      <c r="R506" s="1"/>
      <c r="U506" s="125"/>
      <c r="V506" s="111"/>
      <c r="W506" s="112"/>
      <c r="X506" s="113"/>
      <c r="Z506" s="1"/>
      <c r="AA506" s="1"/>
    </row>
    <row r="507">
      <c r="D507" s="4"/>
      <c r="H507" s="1"/>
      <c r="I507" s="1"/>
      <c r="Q507" s="1"/>
      <c r="R507" s="1"/>
      <c r="U507" s="125"/>
      <c r="V507" s="111"/>
      <c r="W507" s="112"/>
      <c r="X507" s="113"/>
      <c r="Z507" s="1"/>
      <c r="AA507" s="1"/>
    </row>
    <row r="508">
      <c r="D508" s="4"/>
      <c r="H508" s="1"/>
      <c r="I508" s="1"/>
      <c r="Q508" s="1"/>
      <c r="R508" s="1"/>
      <c r="U508" s="125"/>
      <c r="V508" s="111"/>
      <c r="W508" s="112"/>
      <c r="X508" s="113"/>
      <c r="Z508" s="1"/>
      <c r="AA508" s="1"/>
    </row>
    <row r="509">
      <c r="D509" s="4"/>
      <c r="H509" s="1"/>
      <c r="I509" s="1"/>
      <c r="Q509" s="1"/>
      <c r="R509" s="1"/>
      <c r="U509" s="125"/>
      <c r="V509" s="111"/>
      <c r="W509" s="112"/>
      <c r="X509" s="113"/>
      <c r="Z509" s="1"/>
      <c r="AA509" s="1"/>
    </row>
    <row r="510">
      <c r="D510" s="4"/>
      <c r="H510" s="1"/>
      <c r="I510" s="1"/>
      <c r="Q510" s="1"/>
      <c r="R510" s="1"/>
      <c r="U510" s="125"/>
      <c r="V510" s="111"/>
      <c r="W510" s="112"/>
      <c r="X510" s="113"/>
      <c r="Z510" s="1"/>
      <c r="AA510" s="1"/>
    </row>
    <row r="511">
      <c r="D511" s="4"/>
      <c r="H511" s="1"/>
      <c r="I511" s="1"/>
      <c r="Q511" s="1"/>
      <c r="R511" s="1"/>
      <c r="U511" s="125"/>
      <c r="V511" s="111"/>
      <c r="W511" s="112"/>
      <c r="X511" s="113"/>
      <c r="Z511" s="1"/>
      <c r="AA511" s="1"/>
    </row>
    <row r="512">
      <c r="D512" s="4"/>
      <c r="H512" s="1"/>
      <c r="I512" s="1"/>
      <c r="Q512" s="1"/>
      <c r="R512" s="1"/>
      <c r="U512" s="125"/>
      <c r="V512" s="111"/>
      <c r="W512" s="112"/>
      <c r="X512" s="113"/>
      <c r="Z512" s="1"/>
      <c r="AA512" s="1"/>
    </row>
    <row r="513">
      <c r="D513" s="4"/>
      <c r="H513" s="1"/>
      <c r="I513" s="1"/>
      <c r="Q513" s="1"/>
      <c r="R513" s="1"/>
      <c r="U513" s="125"/>
      <c r="V513" s="111"/>
      <c r="W513" s="112"/>
      <c r="X513" s="113"/>
      <c r="Z513" s="1"/>
      <c r="AA513" s="1"/>
    </row>
    <row r="514">
      <c r="D514" s="4"/>
      <c r="H514" s="1"/>
      <c r="I514" s="1"/>
      <c r="Q514" s="1"/>
      <c r="R514" s="1"/>
      <c r="U514" s="125"/>
      <c r="V514" s="111"/>
      <c r="W514" s="112"/>
      <c r="X514" s="113"/>
      <c r="Z514" s="1"/>
      <c r="AA514" s="1"/>
    </row>
    <row r="515">
      <c r="D515" s="4"/>
      <c r="H515" s="1"/>
      <c r="I515" s="1"/>
      <c r="Q515" s="1"/>
      <c r="R515" s="1"/>
      <c r="U515" s="125"/>
      <c r="V515" s="111"/>
      <c r="W515" s="112"/>
      <c r="X515" s="113"/>
      <c r="Z515" s="1"/>
      <c r="AA515" s="1"/>
    </row>
    <row r="516">
      <c r="D516" s="4"/>
      <c r="H516" s="1"/>
      <c r="I516" s="1"/>
      <c r="Q516" s="1"/>
      <c r="R516" s="1"/>
      <c r="U516" s="125"/>
      <c r="V516" s="111"/>
      <c r="W516" s="112"/>
      <c r="X516" s="113"/>
      <c r="Z516" s="1"/>
      <c r="AA516" s="1"/>
    </row>
    <row r="517">
      <c r="D517" s="4"/>
      <c r="H517" s="1"/>
      <c r="I517" s="1"/>
      <c r="Q517" s="1"/>
      <c r="R517" s="1"/>
      <c r="U517" s="125"/>
      <c r="V517" s="111"/>
      <c r="W517" s="112"/>
      <c r="X517" s="113"/>
      <c r="Z517" s="1"/>
      <c r="AA517" s="1"/>
    </row>
    <row r="518">
      <c r="D518" s="4"/>
      <c r="H518" s="1"/>
      <c r="I518" s="1"/>
      <c r="Q518" s="1"/>
      <c r="R518" s="1"/>
      <c r="U518" s="125"/>
      <c r="V518" s="111"/>
      <c r="W518" s="112"/>
      <c r="X518" s="113"/>
      <c r="Z518" s="1"/>
      <c r="AA518" s="1"/>
    </row>
    <row r="519">
      <c r="D519" s="4"/>
      <c r="H519" s="1"/>
      <c r="I519" s="1"/>
      <c r="Q519" s="1"/>
      <c r="R519" s="1"/>
      <c r="U519" s="125"/>
      <c r="V519" s="111"/>
      <c r="W519" s="112"/>
      <c r="X519" s="113"/>
      <c r="Z519" s="1"/>
      <c r="AA519" s="1"/>
    </row>
    <row r="520">
      <c r="D520" s="4"/>
      <c r="H520" s="1"/>
      <c r="I520" s="1"/>
      <c r="Q520" s="1"/>
      <c r="R520" s="1"/>
      <c r="U520" s="125"/>
      <c r="V520" s="111"/>
      <c r="W520" s="112"/>
      <c r="X520" s="113"/>
      <c r="Z520" s="1"/>
      <c r="AA520" s="1"/>
    </row>
    <row r="521">
      <c r="D521" s="4"/>
      <c r="H521" s="1"/>
      <c r="I521" s="1"/>
      <c r="Q521" s="1"/>
      <c r="R521" s="1"/>
      <c r="U521" s="125"/>
      <c r="V521" s="111"/>
      <c r="W521" s="112"/>
      <c r="X521" s="113"/>
      <c r="Z521" s="1"/>
      <c r="AA521" s="1"/>
    </row>
    <row r="522">
      <c r="D522" s="4"/>
      <c r="H522" s="1"/>
      <c r="I522" s="1"/>
      <c r="Q522" s="1"/>
      <c r="R522" s="1"/>
      <c r="U522" s="125"/>
      <c r="V522" s="111"/>
      <c r="W522" s="112"/>
      <c r="X522" s="113"/>
      <c r="Z522" s="1"/>
      <c r="AA522" s="1"/>
    </row>
    <row r="523">
      <c r="D523" s="4"/>
      <c r="H523" s="1"/>
      <c r="I523" s="1"/>
      <c r="Q523" s="1"/>
      <c r="R523" s="1"/>
      <c r="U523" s="125"/>
      <c r="V523" s="111"/>
      <c r="W523" s="112"/>
      <c r="X523" s="113"/>
      <c r="Z523" s="1"/>
      <c r="AA523" s="1"/>
    </row>
    <row r="524">
      <c r="D524" s="4"/>
      <c r="H524" s="1"/>
      <c r="I524" s="1"/>
      <c r="Q524" s="1"/>
      <c r="R524" s="1"/>
      <c r="U524" s="125"/>
      <c r="V524" s="111"/>
      <c r="W524" s="112"/>
      <c r="X524" s="113"/>
      <c r="Z524" s="1"/>
      <c r="AA524" s="1"/>
    </row>
    <row r="525">
      <c r="D525" s="4"/>
      <c r="H525" s="1"/>
      <c r="I525" s="1"/>
      <c r="Q525" s="1"/>
      <c r="R525" s="1"/>
      <c r="U525" s="125"/>
      <c r="V525" s="111"/>
      <c r="W525" s="112"/>
      <c r="X525" s="113"/>
      <c r="Z525" s="1"/>
      <c r="AA525" s="1"/>
    </row>
    <row r="526">
      <c r="D526" s="4"/>
      <c r="H526" s="1"/>
      <c r="I526" s="1"/>
      <c r="Q526" s="1"/>
      <c r="R526" s="1"/>
      <c r="U526" s="125"/>
      <c r="V526" s="111"/>
      <c r="W526" s="112"/>
      <c r="X526" s="113"/>
      <c r="Z526" s="1"/>
      <c r="AA526" s="1"/>
    </row>
    <row r="527">
      <c r="D527" s="4"/>
      <c r="H527" s="1"/>
      <c r="I527" s="1"/>
      <c r="Q527" s="1"/>
      <c r="R527" s="1"/>
      <c r="U527" s="125"/>
      <c r="V527" s="111"/>
      <c r="W527" s="112"/>
      <c r="X527" s="113"/>
      <c r="Z527" s="1"/>
      <c r="AA527" s="1"/>
    </row>
    <row r="528">
      <c r="D528" s="4"/>
      <c r="H528" s="1"/>
      <c r="I528" s="1"/>
      <c r="Q528" s="1"/>
      <c r="R528" s="1"/>
      <c r="U528" s="125"/>
      <c r="V528" s="111"/>
      <c r="W528" s="112"/>
      <c r="X528" s="113"/>
      <c r="Z528" s="1"/>
      <c r="AA528" s="1"/>
    </row>
    <row r="529">
      <c r="D529" s="4"/>
      <c r="H529" s="1"/>
      <c r="I529" s="1"/>
      <c r="Q529" s="1"/>
      <c r="R529" s="1"/>
      <c r="U529" s="125"/>
      <c r="V529" s="111"/>
      <c r="W529" s="112"/>
      <c r="X529" s="113"/>
      <c r="Z529" s="1"/>
      <c r="AA529" s="1"/>
    </row>
    <row r="530">
      <c r="D530" s="4"/>
      <c r="H530" s="1"/>
      <c r="I530" s="1"/>
      <c r="Q530" s="1"/>
      <c r="R530" s="1"/>
      <c r="U530" s="125"/>
      <c r="V530" s="111"/>
      <c r="W530" s="112"/>
      <c r="X530" s="113"/>
      <c r="Z530" s="1"/>
      <c r="AA530" s="1"/>
    </row>
    <row r="531">
      <c r="D531" s="4"/>
      <c r="H531" s="1"/>
      <c r="I531" s="1"/>
      <c r="Q531" s="1"/>
      <c r="R531" s="1"/>
      <c r="U531" s="125"/>
      <c r="V531" s="111"/>
      <c r="W531" s="112"/>
      <c r="X531" s="113"/>
      <c r="Z531" s="1"/>
      <c r="AA531" s="1"/>
    </row>
    <row r="532">
      <c r="D532" s="4"/>
      <c r="H532" s="1"/>
      <c r="I532" s="1"/>
      <c r="Q532" s="1"/>
      <c r="R532" s="1"/>
      <c r="U532" s="125"/>
      <c r="V532" s="111"/>
      <c r="W532" s="112"/>
      <c r="X532" s="113"/>
      <c r="Z532" s="1"/>
      <c r="AA532" s="1"/>
    </row>
    <row r="533">
      <c r="D533" s="4"/>
      <c r="H533" s="1"/>
      <c r="I533" s="1"/>
      <c r="Q533" s="1"/>
      <c r="R533" s="1"/>
      <c r="U533" s="125"/>
      <c r="V533" s="111"/>
      <c r="W533" s="112"/>
      <c r="X533" s="113"/>
      <c r="Z533" s="1"/>
      <c r="AA533" s="1"/>
    </row>
    <row r="534">
      <c r="D534" s="4"/>
      <c r="H534" s="1"/>
      <c r="I534" s="1"/>
      <c r="Q534" s="1"/>
      <c r="R534" s="1"/>
      <c r="U534" s="125"/>
      <c r="V534" s="111"/>
      <c r="W534" s="112"/>
      <c r="X534" s="113"/>
      <c r="Z534" s="1"/>
      <c r="AA534" s="1"/>
    </row>
    <row r="535">
      <c r="D535" s="4"/>
      <c r="H535" s="1"/>
      <c r="I535" s="1"/>
      <c r="Q535" s="1"/>
      <c r="R535" s="1"/>
      <c r="U535" s="125"/>
      <c r="V535" s="111"/>
      <c r="W535" s="112"/>
      <c r="X535" s="113"/>
      <c r="Z535" s="1"/>
      <c r="AA535" s="1"/>
    </row>
    <row r="536">
      <c r="D536" s="4"/>
      <c r="H536" s="1"/>
      <c r="I536" s="1"/>
      <c r="Q536" s="1"/>
      <c r="R536" s="1"/>
      <c r="U536" s="125"/>
      <c r="V536" s="111"/>
      <c r="W536" s="112"/>
      <c r="X536" s="113"/>
      <c r="Z536" s="1"/>
      <c r="AA536" s="1"/>
    </row>
    <row r="537">
      <c r="D537" s="4"/>
      <c r="H537" s="1"/>
      <c r="I537" s="1"/>
      <c r="Q537" s="1"/>
      <c r="R537" s="1"/>
      <c r="U537" s="125"/>
      <c r="V537" s="111"/>
      <c r="W537" s="112"/>
      <c r="X537" s="113"/>
      <c r="Z537" s="1"/>
      <c r="AA537" s="1"/>
    </row>
    <row r="538">
      <c r="D538" s="4"/>
      <c r="H538" s="1"/>
      <c r="I538" s="1"/>
      <c r="Q538" s="1"/>
      <c r="R538" s="1"/>
      <c r="U538" s="125"/>
      <c r="V538" s="111"/>
      <c r="W538" s="112"/>
      <c r="X538" s="113"/>
      <c r="Z538" s="1"/>
      <c r="AA538" s="1"/>
    </row>
    <row r="539">
      <c r="D539" s="4"/>
      <c r="H539" s="1"/>
      <c r="I539" s="1"/>
      <c r="Q539" s="1"/>
      <c r="R539" s="1"/>
      <c r="U539" s="125"/>
      <c r="V539" s="111"/>
      <c r="W539" s="112"/>
      <c r="X539" s="113"/>
      <c r="Z539" s="1"/>
      <c r="AA539" s="1"/>
    </row>
    <row r="540">
      <c r="D540" s="4"/>
      <c r="H540" s="1"/>
      <c r="I540" s="1"/>
      <c r="Q540" s="1"/>
      <c r="R540" s="1"/>
      <c r="U540" s="125"/>
      <c r="V540" s="111"/>
      <c r="W540" s="112"/>
      <c r="X540" s="113"/>
      <c r="Z540" s="1"/>
      <c r="AA540" s="1"/>
    </row>
    <row r="541">
      <c r="D541" s="4"/>
      <c r="H541" s="1"/>
      <c r="I541" s="1"/>
      <c r="Q541" s="1"/>
      <c r="R541" s="1"/>
      <c r="U541" s="125"/>
      <c r="V541" s="111"/>
      <c r="W541" s="112"/>
      <c r="X541" s="113"/>
      <c r="Z541" s="1"/>
      <c r="AA541" s="1"/>
    </row>
    <row r="542">
      <c r="D542" s="4"/>
      <c r="H542" s="1"/>
      <c r="I542" s="1"/>
      <c r="Q542" s="1"/>
      <c r="R542" s="1"/>
      <c r="U542" s="125"/>
      <c r="V542" s="111"/>
      <c r="W542" s="112"/>
      <c r="X542" s="113"/>
      <c r="Z542" s="1"/>
      <c r="AA542" s="1"/>
    </row>
    <row r="543">
      <c r="D543" s="4"/>
      <c r="H543" s="1"/>
      <c r="I543" s="1"/>
      <c r="Q543" s="1"/>
      <c r="R543" s="1"/>
      <c r="U543" s="125"/>
      <c r="V543" s="111"/>
      <c r="W543" s="112"/>
      <c r="X543" s="113"/>
      <c r="Z543" s="1"/>
      <c r="AA543" s="1"/>
    </row>
    <row r="544">
      <c r="D544" s="4"/>
      <c r="H544" s="1"/>
      <c r="I544" s="1"/>
      <c r="Q544" s="1"/>
      <c r="R544" s="1"/>
      <c r="U544" s="125"/>
      <c r="V544" s="111"/>
      <c r="W544" s="112"/>
      <c r="X544" s="113"/>
      <c r="Z544" s="1"/>
      <c r="AA544" s="1"/>
    </row>
    <row r="545">
      <c r="D545" s="4"/>
      <c r="H545" s="1"/>
      <c r="I545" s="1"/>
      <c r="Q545" s="1"/>
      <c r="R545" s="1"/>
      <c r="U545" s="125"/>
      <c r="V545" s="111"/>
      <c r="W545" s="112"/>
      <c r="X545" s="113"/>
      <c r="Z545" s="1"/>
      <c r="AA545" s="1"/>
    </row>
    <row r="546">
      <c r="D546" s="4"/>
      <c r="H546" s="1"/>
      <c r="I546" s="1"/>
      <c r="Q546" s="1"/>
      <c r="R546" s="1"/>
      <c r="U546" s="125"/>
      <c r="V546" s="111"/>
      <c r="W546" s="112"/>
      <c r="X546" s="113"/>
      <c r="Z546" s="1"/>
      <c r="AA546" s="1"/>
    </row>
    <row r="547">
      <c r="D547" s="4"/>
      <c r="H547" s="1"/>
      <c r="I547" s="1"/>
      <c r="Q547" s="1"/>
      <c r="R547" s="1"/>
      <c r="U547" s="125"/>
      <c r="V547" s="111"/>
      <c r="W547" s="112"/>
      <c r="X547" s="113"/>
      <c r="Z547" s="1"/>
      <c r="AA547" s="1"/>
    </row>
    <row r="548">
      <c r="D548" s="4"/>
      <c r="H548" s="1"/>
      <c r="I548" s="1"/>
      <c r="Q548" s="1"/>
      <c r="R548" s="1"/>
      <c r="U548" s="125"/>
      <c r="V548" s="111"/>
      <c r="W548" s="112"/>
      <c r="X548" s="113"/>
      <c r="Z548" s="1"/>
      <c r="AA548" s="1"/>
    </row>
    <row r="549">
      <c r="D549" s="4"/>
      <c r="H549" s="1"/>
      <c r="I549" s="1"/>
      <c r="Q549" s="1"/>
      <c r="R549" s="1"/>
      <c r="U549" s="125"/>
      <c r="V549" s="111"/>
      <c r="W549" s="112"/>
      <c r="X549" s="113"/>
      <c r="Z549" s="1"/>
      <c r="AA549" s="1"/>
    </row>
    <row r="550">
      <c r="D550" s="4"/>
      <c r="H550" s="1"/>
      <c r="I550" s="1"/>
      <c r="Q550" s="1"/>
      <c r="R550" s="1"/>
      <c r="U550" s="125"/>
      <c r="V550" s="111"/>
      <c r="W550" s="112"/>
      <c r="X550" s="113"/>
      <c r="Z550" s="1"/>
      <c r="AA550" s="1"/>
    </row>
    <row r="551">
      <c r="D551" s="4"/>
      <c r="H551" s="1"/>
      <c r="I551" s="1"/>
      <c r="Q551" s="1"/>
      <c r="R551" s="1"/>
      <c r="U551" s="125"/>
      <c r="V551" s="111"/>
      <c r="W551" s="112"/>
      <c r="X551" s="113"/>
      <c r="Z551" s="1"/>
      <c r="AA551" s="1"/>
    </row>
    <row r="552">
      <c r="D552" s="4"/>
      <c r="H552" s="1"/>
      <c r="I552" s="1"/>
      <c r="Q552" s="1"/>
      <c r="R552" s="1"/>
      <c r="U552" s="125"/>
      <c r="V552" s="111"/>
      <c r="W552" s="112"/>
      <c r="X552" s="113"/>
      <c r="Z552" s="1"/>
      <c r="AA552" s="1"/>
    </row>
    <row r="553">
      <c r="D553" s="4"/>
      <c r="H553" s="1"/>
      <c r="I553" s="1"/>
      <c r="Q553" s="1"/>
      <c r="R553" s="1"/>
      <c r="U553" s="125"/>
      <c r="V553" s="111"/>
      <c r="W553" s="112"/>
      <c r="X553" s="113"/>
      <c r="Z553" s="1"/>
      <c r="AA553" s="1"/>
    </row>
    <row r="554">
      <c r="D554" s="4"/>
      <c r="H554" s="1"/>
      <c r="I554" s="1"/>
      <c r="Q554" s="1"/>
      <c r="R554" s="1"/>
      <c r="U554" s="125"/>
      <c r="V554" s="111"/>
      <c r="W554" s="112"/>
      <c r="X554" s="113"/>
      <c r="Z554" s="1"/>
      <c r="AA554" s="1"/>
    </row>
    <row r="555">
      <c r="D555" s="4"/>
      <c r="H555" s="1"/>
      <c r="I555" s="1"/>
      <c r="Q555" s="1"/>
      <c r="R555" s="1"/>
      <c r="U555" s="125"/>
      <c r="V555" s="111"/>
      <c r="W555" s="112"/>
      <c r="X555" s="113"/>
      <c r="Z555" s="1"/>
      <c r="AA555" s="1"/>
    </row>
    <row r="556">
      <c r="D556" s="4"/>
      <c r="H556" s="1"/>
      <c r="I556" s="1"/>
      <c r="Q556" s="1"/>
      <c r="R556" s="1"/>
      <c r="U556" s="125"/>
      <c r="V556" s="111"/>
      <c r="W556" s="112"/>
      <c r="X556" s="113"/>
      <c r="Z556" s="1"/>
      <c r="AA556" s="1"/>
    </row>
    <row r="557">
      <c r="D557" s="4"/>
      <c r="H557" s="1"/>
      <c r="I557" s="1"/>
      <c r="Q557" s="1"/>
      <c r="R557" s="1"/>
      <c r="U557" s="125"/>
      <c r="V557" s="111"/>
      <c r="W557" s="112"/>
      <c r="X557" s="113"/>
      <c r="Z557" s="1"/>
      <c r="AA557" s="1"/>
    </row>
    <row r="558">
      <c r="D558" s="4"/>
      <c r="H558" s="1"/>
      <c r="I558" s="1"/>
      <c r="Q558" s="1"/>
      <c r="R558" s="1"/>
      <c r="U558" s="125"/>
      <c r="V558" s="111"/>
      <c r="W558" s="112"/>
      <c r="X558" s="113"/>
      <c r="Z558" s="1"/>
      <c r="AA558" s="1"/>
    </row>
    <row r="559">
      <c r="D559" s="4"/>
      <c r="H559" s="1"/>
      <c r="I559" s="1"/>
      <c r="Q559" s="1"/>
      <c r="R559" s="1"/>
      <c r="U559" s="125"/>
      <c r="V559" s="111"/>
      <c r="W559" s="112"/>
      <c r="X559" s="113"/>
      <c r="Z559" s="1"/>
      <c r="AA559" s="1"/>
    </row>
    <row r="560">
      <c r="D560" s="4"/>
      <c r="H560" s="1"/>
      <c r="I560" s="1"/>
      <c r="Q560" s="1"/>
      <c r="R560" s="1"/>
      <c r="U560" s="125"/>
      <c r="V560" s="111"/>
      <c r="W560" s="112"/>
      <c r="X560" s="113"/>
      <c r="Z560" s="1"/>
      <c r="AA560" s="1"/>
    </row>
    <row r="561">
      <c r="D561" s="4"/>
      <c r="H561" s="1"/>
      <c r="I561" s="1"/>
      <c r="Q561" s="1"/>
      <c r="R561" s="1"/>
      <c r="U561" s="125"/>
      <c r="V561" s="111"/>
      <c r="W561" s="112"/>
      <c r="X561" s="113"/>
      <c r="Z561" s="1"/>
      <c r="AA561" s="1"/>
    </row>
    <row r="562">
      <c r="D562" s="4"/>
      <c r="H562" s="1"/>
      <c r="I562" s="1"/>
      <c r="Q562" s="1"/>
      <c r="R562" s="1"/>
      <c r="U562" s="125"/>
      <c r="V562" s="111"/>
      <c r="W562" s="112"/>
      <c r="X562" s="113"/>
      <c r="Z562" s="1"/>
      <c r="AA562" s="1"/>
    </row>
    <row r="563">
      <c r="D563" s="4"/>
      <c r="H563" s="1"/>
      <c r="I563" s="1"/>
      <c r="Q563" s="1"/>
      <c r="R563" s="1"/>
      <c r="U563" s="125"/>
      <c r="V563" s="111"/>
      <c r="W563" s="112"/>
      <c r="X563" s="113"/>
      <c r="Z563" s="1"/>
      <c r="AA563" s="1"/>
    </row>
    <row r="564">
      <c r="D564" s="4"/>
      <c r="H564" s="1"/>
      <c r="I564" s="1"/>
      <c r="Q564" s="1"/>
      <c r="R564" s="1"/>
      <c r="U564" s="125"/>
      <c r="V564" s="111"/>
      <c r="W564" s="112"/>
      <c r="X564" s="113"/>
      <c r="Z564" s="1"/>
      <c r="AA564" s="1"/>
    </row>
    <row r="565">
      <c r="D565" s="4"/>
      <c r="H565" s="1"/>
      <c r="I565" s="1"/>
      <c r="Q565" s="1"/>
      <c r="R565" s="1"/>
      <c r="U565" s="125"/>
      <c r="V565" s="111"/>
      <c r="W565" s="112"/>
      <c r="X565" s="113"/>
      <c r="Z565" s="1"/>
      <c r="AA565" s="1"/>
    </row>
    <row r="566">
      <c r="D566" s="4"/>
      <c r="H566" s="1"/>
      <c r="I566" s="1"/>
      <c r="Q566" s="1"/>
      <c r="R566" s="1"/>
      <c r="U566" s="125"/>
      <c r="V566" s="111"/>
      <c r="W566" s="112"/>
      <c r="X566" s="113"/>
      <c r="Z566" s="1"/>
      <c r="AA566" s="1"/>
    </row>
    <row r="567">
      <c r="D567" s="4"/>
      <c r="H567" s="1"/>
      <c r="I567" s="1"/>
      <c r="Q567" s="1"/>
      <c r="R567" s="1"/>
      <c r="U567" s="125"/>
      <c r="V567" s="111"/>
      <c r="W567" s="112"/>
      <c r="X567" s="113"/>
      <c r="Z567" s="1"/>
      <c r="AA567" s="1"/>
    </row>
    <row r="568">
      <c r="D568" s="4"/>
      <c r="H568" s="1"/>
      <c r="I568" s="1"/>
      <c r="Q568" s="1"/>
      <c r="R568" s="1"/>
      <c r="U568" s="125"/>
      <c r="V568" s="111"/>
      <c r="W568" s="112"/>
      <c r="X568" s="113"/>
      <c r="Z568" s="1"/>
      <c r="AA568" s="1"/>
    </row>
    <row r="569">
      <c r="D569" s="4"/>
      <c r="H569" s="1"/>
      <c r="I569" s="1"/>
      <c r="Q569" s="1"/>
      <c r="R569" s="1"/>
      <c r="U569" s="125"/>
      <c r="V569" s="111"/>
      <c r="W569" s="112"/>
      <c r="X569" s="113"/>
      <c r="Z569" s="1"/>
      <c r="AA569" s="1"/>
    </row>
    <row r="570">
      <c r="D570" s="4"/>
      <c r="H570" s="1"/>
      <c r="I570" s="1"/>
      <c r="Q570" s="1"/>
      <c r="R570" s="1"/>
      <c r="U570" s="125"/>
      <c r="V570" s="111"/>
      <c r="W570" s="112"/>
      <c r="X570" s="113"/>
      <c r="Z570" s="1"/>
      <c r="AA570" s="1"/>
    </row>
    <row r="571">
      <c r="D571" s="4"/>
      <c r="H571" s="1"/>
      <c r="I571" s="1"/>
      <c r="Q571" s="1"/>
      <c r="R571" s="1"/>
      <c r="U571" s="125"/>
      <c r="V571" s="111"/>
      <c r="W571" s="112"/>
      <c r="X571" s="113"/>
      <c r="Z571" s="1"/>
      <c r="AA571" s="1"/>
    </row>
    <row r="572">
      <c r="D572" s="4"/>
      <c r="H572" s="1"/>
      <c r="I572" s="1"/>
      <c r="Q572" s="1"/>
      <c r="R572" s="1"/>
      <c r="U572" s="125"/>
      <c r="V572" s="111"/>
      <c r="W572" s="112"/>
      <c r="X572" s="113"/>
      <c r="Z572" s="1"/>
      <c r="AA572" s="1"/>
    </row>
    <row r="573">
      <c r="D573" s="4"/>
      <c r="H573" s="1"/>
      <c r="I573" s="1"/>
      <c r="Q573" s="1"/>
      <c r="R573" s="1"/>
      <c r="U573" s="125"/>
      <c r="V573" s="111"/>
      <c r="W573" s="112"/>
      <c r="X573" s="113"/>
      <c r="Z573" s="1"/>
      <c r="AA573" s="1"/>
    </row>
    <row r="574">
      <c r="D574" s="4"/>
      <c r="H574" s="1"/>
      <c r="I574" s="1"/>
      <c r="Q574" s="1"/>
      <c r="R574" s="1"/>
      <c r="U574" s="125"/>
      <c r="V574" s="111"/>
      <c r="W574" s="112"/>
      <c r="X574" s="113"/>
      <c r="Z574" s="1"/>
      <c r="AA574" s="1"/>
    </row>
    <row r="575">
      <c r="D575" s="4"/>
      <c r="H575" s="1"/>
      <c r="I575" s="1"/>
      <c r="Q575" s="1"/>
      <c r="R575" s="1"/>
      <c r="U575" s="125"/>
      <c r="V575" s="111"/>
      <c r="W575" s="112"/>
      <c r="X575" s="113"/>
      <c r="Z575" s="1"/>
      <c r="AA575" s="1"/>
    </row>
    <row r="576">
      <c r="D576" s="4"/>
      <c r="H576" s="1"/>
      <c r="I576" s="1"/>
      <c r="Q576" s="1"/>
      <c r="R576" s="1"/>
      <c r="U576" s="125"/>
      <c r="V576" s="111"/>
      <c r="W576" s="112"/>
      <c r="X576" s="113"/>
      <c r="Z576" s="1"/>
      <c r="AA576" s="1"/>
    </row>
    <row r="577">
      <c r="D577" s="4"/>
      <c r="H577" s="1"/>
      <c r="I577" s="1"/>
      <c r="Q577" s="1"/>
      <c r="R577" s="1"/>
      <c r="U577" s="125"/>
      <c r="V577" s="111"/>
      <c r="W577" s="112"/>
      <c r="X577" s="113"/>
      <c r="Z577" s="1"/>
      <c r="AA577" s="1"/>
    </row>
    <row r="578">
      <c r="D578" s="4"/>
      <c r="H578" s="1"/>
      <c r="I578" s="1"/>
      <c r="Q578" s="1"/>
      <c r="R578" s="1"/>
      <c r="U578" s="125"/>
      <c r="V578" s="111"/>
      <c r="W578" s="112"/>
      <c r="X578" s="113"/>
      <c r="Z578" s="1"/>
      <c r="AA578" s="1"/>
    </row>
    <row r="579">
      <c r="D579" s="4"/>
      <c r="H579" s="1"/>
      <c r="I579" s="1"/>
      <c r="Q579" s="1"/>
      <c r="R579" s="1"/>
      <c r="U579" s="125"/>
      <c r="V579" s="111"/>
      <c r="W579" s="112"/>
      <c r="X579" s="113"/>
      <c r="Z579" s="1"/>
      <c r="AA579" s="1"/>
    </row>
    <row r="580">
      <c r="D580" s="4"/>
      <c r="H580" s="1"/>
      <c r="I580" s="1"/>
      <c r="Q580" s="1"/>
      <c r="R580" s="1"/>
      <c r="U580" s="125"/>
      <c r="V580" s="111"/>
      <c r="W580" s="112"/>
      <c r="X580" s="113"/>
      <c r="Z580" s="1"/>
      <c r="AA580" s="1"/>
    </row>
    <row r="581">
      <c r="D581" s="4"/>
      <c r="H581" s="1"/>
      <c r="I581" s="1"/>
      <c r="Q581" s="1"/>
      <c r="R581" s="1"/>
      <c r="U581" s="125"/>
      <c r="V581" s="111"/>
      <c r="W581" s="112"/>
      <c r="X581" s="113"/>
      <c r="Z581" s="1"/>
      <c r="AA581" s="1"/>
    </row>
    <row r="582">
      <c r="D582" s="4"/>
      <c r="H582" s="1"/>
      <c r="I582" s="1"/>
      <c r="Q582" s="1"/>
      <c r="R582" s="1"/>
      <c r="U582" s="125"/>
      <c r="V582" s="111"/>
      <c r="W582" s="112"/>
      <c r="X582" s="113"/>
      <c r="Z582" s="1"/>
      <c r="AA582" s="1"/>
    </row>
    <row r="583">
      <c r="D583" s="4"/>
      <c r="H583" s="1"/>
      <c r="I583" s="1"/>
      <c r="Q583" s="1"/>
      <c r="R583" s="1"/>
      <c r="U583" s="125"/>
      <c r="V583" s="111"/>
      <c r="W583" s="112"/>
      <c r="X583" s="113"/>
      <c r="Z583" s="1"/>
      <c r="AA583" s="1"/>
    </row>
    <row r="584">
      <c r="D584" s="4"/>
      <c r="H584" s="1"/>
      <c r="I584" s="1"/>
      <c r="Q584" s="1"/>
      <c r="R584" s="1"/>
      <c r="U584" s="125"/>
      <c r="V584" s="111"/>
      <c r="W584" s="112"/>
      <c r="X584" s="113"/>
      <c r="Z584" s="1"/>
      <c r="AA584" s="1"/>
    </row>
    <row r="585">
      <c r="D585" s="4"/>
      <c r="H585" s="1"/>
      <c r="I585" s="1"/>
      <c r="Q585" s="1"/>
      <c r="R585" s="1"/>
      <c r="U585" s="125"/>
      <c r="V585" s="111"/>
      <c r="W585" s="112"/>
      <c r="X585" s="113"/>
      <c r="Z585" s="1"/>
      <c r="AA585" s="1"/>
    </row>
    <row r="586">
      <c r="D586" s="4"/>
      <c r="H586" s="1"/>
      <c r="I586" s="1"/>
      <c r="Q586" s="1"/>
      <c r="R586" s="1"/>
      <c r="U586" s="125"/>
      <c r="V586" s="111"/>
      <c r="W586" s="112"/>
      <c r="X586" s="113"/>
      <c r="Z586" s="1"/>
      <c r="AA586" s="1"/>
    </row>
    <row r="587">
      <c r="D587" s="4"/>
      <c r="H587" s="1"/>
      <c r="I587" s="1"/>
      <c r="Q587" s="1"/>
      <c r="R587" s="1"/>
      <c r="U587" s="125"/>
      <c r="V587" s="111"/>
      <c r="W587" s="112"/>
      <c r="X587" s="113"/>
      <c r="Z587" s="1"/>
      <c r="AA587" s="1"/>
    </row>
    <row r="588">
      <c r="D588" s="4"/>
      <c r="H588" s="1"/>
      <c r="I588" s="1"/>
      <c r="Q588" s="1"/>
      <c r="R588" s="1"/>
      <c r="U588" s="125"/>
      <c r="V588" s="111"/>
      <c r="W588" s="112"/>
      <c r="X588" s="113"/>
      <c r="Z588" s="1"/>
      <c r="AA588" s="1"/>
    </row>
    <row r="589">
      <c r="D589" s="4"/>
      <c r="H589" s="1"/>
      <c r="I589" s="1"/>
      <c r="Q589" s="1"/>
      <c r="R589" s="1"/>
      <c r="U589" s="125"/>
      <c r="V589" s="111"/>
      <c r="W589" s="112"/>
      <c r="X589" s="113"/>
      <c r="Z589" s="1"/>
      <c r="AA589" s="1"/>
    </row>
    <row r="590">
      <c r="D590" s="4"/>
      <c r="H590" s="1"/>
      <c r="I590" s="1"/>
      <c r="Q590" s="1"/>
      <c r="R590" s="1"/>
      <c r="U590" s="125"/>
      <c r="V590" s="111"/>
      <c r="W590" s="112"/>
      <c r="X590" s="113"/>
      <c r="Z590" s="1"/>
      <c r="AA590" s="1"/>
    </row>
    <row r="591">
      <c r="D591" s="4"/>
      <c r="H591" s="1"/>
      <c r="I591" s="1"/>
      <c r="Q591" s="1"/>
      <c r="R591" s="1"/>
      <c r="U591" s="125"/>
      <c r="V591" s="111"/>
      <c r="W591" s="112"/>
      <c r="X591" s="113"/>
      <c r="Z591" s="1"/>
      <c r="AA591" s="1"/>
    </row>
    <row r="592">
      <c r="D592" s="4"/>
      <c r="H592" s="1"/>
      <c r="I592" s="1"/>
      <c r="Q592" s="1"/>
      <c r="R592" s="1"/>
      <c r="U592" s="125"/>
      <c r="V592" s="111"/>
      <c r="W592" s="112"/>
      <c r="X592" s="113"/>
      <c r="Z592" s="1"/>
      <c r="AA592" s="1"/>
    </row>
    <row r="593">
      <c r="D593" s="4"/>
      <c r="H593" s="1"/>
      <c r="I593" s="1"/>
      <c r="Q593" s="1"/>
      <c r="R593" s="1"/>
      <c r="U593" s="125"/>
      <c r="V593" s="111"/>
      <c r="W593" s="112"/>
      <c r="X593" s="113"/>
      <c r="Z593" s="1"/>
      <c r="AA593" s="1"/>
    </row>
    <row r="594">
      <c r="D594" s="4"/>
      <c r="H594" s="1"/>
      <c r="I594" s="1"/>
      <c r="Q594" s="1"/>
      <c r="R594" s="1"/>
      <c r="U594" s="125"/>
      <c r="V594" s="111"/>
      <c r="W594" s="112"/>
      <c r="X594" s="113"/>
      <c r="Z594" s="1"/>
      <c r="AA594" s="1"/>
    </row>
    <row r="595">
      <c r="D595" s="4"/>
      <c r="H595" s="1"/>
      <c r="I595" s="1"/>
      <c r="Q595" s="1"/>
      <c r="R595" s="1"/>
      <c r="U595" s="125"/>
      <c r="V595" s="111"/>
      <c r="W595" s="112"/>
      <c r="X595" s="113"/>
      <c r="Z595" s="1"/>
      <c r="AA595" s="1"/>
    </row>
    <row r="596">
      <c r="D596" s="4"/>
      <c r="H596" s="1"/>
      <c r="I596" s="1"/>
      <c r="Q596" s="1"/>
      <c r="R596" s="1"/>
      <c r="U596" s="125"/>
      <c r="V596" s="111"/>
      <c r="W596" s="112"/>
      <c r="X596" s="113"/>
      <c r="Z596" s="1"/>
      <c r="AA596" s="1"/>
    </row>
    <row r="597">
      <c r="D597" s="4"/>
      <c r="H597" s="1"/>
      <c r="I597" s="1"/>
      <c r="Q597" s="1"/>
      <c r="R597" s="1"/>
      <c r="U597" s="125"/>
      <c r="V597" s="111"/>
      <c r="W597" s="112"/>
      <c r="X597" s="113"/>
      <c r="Z597" s="1"/>
      <c r="AA597" s="1"/>
    </row>
    <row r="598">
      <c r="D598" s="4"/>
      <c r="H598" s="1"/>
      <c r="I598" s="1"/>
      <c r="Q598" s="1"/>
      <c r="R598" s="1"/>
      <c r="U598" s="125"/>
      <c r="V598" s="111"/>
      <c r="W598" s="112"/>
      <c r="X598" s="113"/>
      <c r="Z598" s="1"/>
      <c r="AA598" s="1"/>
    </row>
    <row r="599">
      <c r="D599" s="4"/>
      <c r="H599" s="1"/>
      <c r="I599" s="1"/>
      <c r="Q599" s="1"/>
      <c r="R599" s="1"/>
      <c r="U599" s="125"/>
      <c r="V599" s="111"/>
      <c r="W599" s="112"/>
      <c r="X599" s="113"/>
      <c r="Z599" s="1"/>
      <c r="AA599" s="1"/>
    </row>
    <row r="600">
      <c r="D600" s="4"/>
      <c r="H600" s="1"/>
      <c r="I600" s="1"/>
      <c r="Q600" s="1"/>
      <c r="R600" s="1"/>
      <c r="U600" s="125"/>
      <c r="V600" s="111"/>
      <c r="W600" s="112"/>
      <c r="X600" s="113"/>
      <c r="Z600" s="1"/>
      <c r="AA600" s="1"/>
    </row>
    <row r="601">
      <c r="D601" s="4"/>
      <c r="H601" s="1"/>
      <c r="I601" s="1"/>
      <c r="Q601" s="1"/>
      <c r="R601" s="1"/>
      <c r="U601" s="125"/>
      <c r="V601" s="111"/>
      <c r="W601" s="112"/>
      <c r="X601" s="113"/>
      <c r="Z601" s="1"/>
      <c r="AA601" s="1"/>
    </row>
    <row r="602">
      <c r="D602" s="4"/>
      <c r="H602" s="1"/>
      <c r="I602" s="1"/>
      <c r="Q602" s="1"/>
      <c r="R602" s="1"/>
      <c r="U602" s="125"/>
      <c r="V602" s="111"/>
      <c r="W602" s="112"/>
      <c r="X602" s="113"/>
      <c r="Z602" s="1"/>
      <c r="AA602" s="1"/>
    </row>
    <row r="603">
      <c r="D603" s="4"/>
      <c r="H603" s="1"/>
      <c r="I603" s="1"/>
      <c r="Q603" s="1"/>
      <c r="R603" s="1"/>
      <c r="U603" s="125"/>
      <c r="V603" s="111"/>
      <c r="W603" s="112"/>
      <c r="X603" s="113"/>
      <c r="Z603" s="1"/>
      <c r="AA603" s="1"/>
    </row>
    <row r="604">
      <c r="D604" s="4"/>
      <c r="H604" s="1"/>
      <c r="I604" s="1"/>
      <c r="Q604" s="1"/>
      <c r="R604" s="1"/>
      <c r="U604" s="125"/>
      <c r="V604" s="111"/>
      <c r="W604" s="112"/>
      <c r="X604" s="113"/>
      <c r="Z604" s="1"/>
      <c r="AA604" s="1"/>
    </row>
    <row r="605">
      <c r="D605" s="4"/>
      <c r="H605" s="1"/>
      <c r="I605" s="1"/>
      <c r="Q605" s="1"/>
      <c r="R605" s="1"/>
      <c r="U605" s="125"/>
      <c r="V605" s="111"/>
      <c r="W605" s="112"/>
      <c r="X605" s="113"/>
      <c r="Z605" s="1"/>
      <c r="AA605" s="1"/>
    </row>
    <row r="606">
      <c r="D606" s="4"/>
      <c r="H606" s="1"/>
      <c r="I606" s="1"/>
      <c r="Q606" s="1"/>
      <c r="R606" s="1"/>
      <c r="U606" s="125"/>
      <c r="V606" s="111"/>
      <c r="W606" s="112"/>
      <c r="X606" s="113"/>
      <c r="Z606" s="1"/>
      <c r="AA606" s="1"/>
    </row>
    <row r="607">
      <c r="D607" s="4"/>
      <c r="H607" s="1"/>
      <c r="I607" s="1"/>
      <c r="Q607" s="1"/>
      <c r="R607" s="1"/>
      <c r="U607" s="125"/>
      <c r="V607" s="111"/>
      <c r="W607" s="112"/>
      <c r="X607" s="113"/>
      <c r="Z607" s="1"/>
      <c r="AA607" s="1"/>
    </row>
    <row r="608">
      <c r="D608" s="4"/>
      <c r="H608" s="1"/>
      <c r="I608" s="1"/>
      <c r="Q608" s="1"/>
      <c r="R608" s="1"/>
      <c r="U608" s="125"/>
      <c r="V608" s="111"/>
      <c r="W608" s="112"/>
      <c r="X608" s="113"/>
      <c r="Z608" s="1"/>
      <c r="AA608" s="1"/>
    </row>
    <row r="609">
      <c r="D609" s="4"/>
      <c r="H609" s="1"/>
      <c r="I609" s="1"/>
      <c r="Q609" s="1"/>
      <c r="R609" s="1"/>
      <c r="U609" s="125"/>
      <c r="V609" s="111"/>
      <c r="W609" s="112"/>
      <c r="X609" s="113"/>
      <c r="Z609" s="1"/>
      <c r="AA609" s="1"/>
    </row>
    <row r="610">
      <c r="D610" s="4"/>
      <c r="H610" s="1"/>
      <c r="I610" s="1"/>
      <c r="Q610" s="1"/>
      <c r="R610" s="1"/>
      <c r="U610" s="125"/>
      <c r="V610" s="111"/>
      <c r="W610" s="112"/>
      <c r="X610" s="113"/>
      <c r="Z610" s="1"/>
      <c r="AA610" s="1"/>
    </row>
    <row r="611">
      <c r="D611" s="4"/>
      <c r="H611" s="1"/>
      <c r="I611" s="1"/>
      <c r="Q611" s="1"/>
      <c r="R611" s="1"/>
      <c r="U611" s="125"/>
      <c r="V611" s="111"/>
      <c r="W611" s="112"/>
      <c r="X611" s="113"/>
      <c r="Z611" s="1"/>
      <c r="AA611" s="1"/>
    </row>
    <row r="612">
      <c r="D612" s="4"/>
      <c r="H612" s="1"/>
      <c r="I612" s="1"/>
      <c r="Q612" s="1"/>
      <c r="R612" s="1"/>
      <c r="U612" s="125"/>
      <c r="V612" s="111"/>
      <c r="W612" s="112"/>
      <c r="X612" s="113"/>
      <c r="Z612" s="1"/>
      <c r="AA612" s="1"/>
    </row>
    <row r="613">
      <c r="D613" s="4"/>
      <c r="H613" s="1"/>
      <c r="I613" s="1"/>
      <c r="Q613" s="1"/>
      <c r="R613" s="1"/>
      <c r="U613" s="125"/>
      <c r="V613" s="111"/>
      <c r="W613" s="112"/>
      <c r="X613" s="113"/>
      <c r="Z613" s="1"/>
      <c r="AA613" s="1"/>
    </row>
    <row r="614">
      <c r="D614" s="4"/>
      <c r="H614" s="1"/>
      <c r="I614" s="1"/>
      <c r="Q614" s="1"/>
      <c r="R614" s="1"/>
      <c r="U614" s="125"/>
      <c r="V614" s="111"/>
      <c r="W614" s="112"/>
      <c r="X614" s="113"/>
      <c r="Z614" s="1"/>
      <c r="AA614" s="1"/>
    </row>
    <row r="615">
      <c r="D615" s="4"/>
      <c r="H615" s="1"/>
      <c r="I615" s="1"/>
      <c r="Q615" s="1"/>
      <c r="R615" s="1"/>
      <c r="U615" s="125"/>
      <c r="V615" s="111"/>
      <c r="W615" s="112"/>
      <c r="X615" s="113"/>
      <c r="Z615" s="1"/>
      <c r="AA615" s="1"/>
    </row>
    <row r="616">
      <c r="D616" s="4"/>
      <c r="H616" s="1"/>
      <c r="I616" s="1"/>
      <c r="Q616" s="1"/>
      <c r="R616" s="1"/>
      <c r="U616" s="125"/>
      <c r="V616" s="111"/>
      <c r="W616" s="112"/>
      <c r="X616" s="113"/>
      <c r="Z616" s="1"/>
      <c r="AA616" s="1"/>
    </row>
    <row r="617">
      <c r="D617" s="4"/>
      <c r="H617" s="1"/>
      <c r="I617" s="1"/>
      <c r="Q617" s="1"/>
      <c r="R617" s="1"/>
      <c r="U617" s="125"/>
      <c r="V617" s="111"/>
      <c r="W617" s="112"/>
      <c r="X617" s="113"/>
      <c r="Z617" s="1"/>
      <c r="AA617" s="1"/>
    </row>
    <row r="618">
      <c r="D618" s="4"/>
      <c r="H618" s="1"/>
      <c r="I618" s="1"/>
      <c r="Q618" s="1"/>
      <c r="R618" s="1"/>
      <c r="U618" s="125"/>
      <c r="V618" s="111"/>
      <c r="W618" s="112"/>
      <c r="X618" s="113"/>
      <c r="Z618" s="1"/>
      <c r="AA618" s="1"/>
    </row>
    <row r="619">
      <c r="D619" s="4"/>
      <c r="H619" s="1"/>
      <c r="I619" s="1"/>
      <c r="Q619" s="1"/>
      <c r="R619" s="1"/>
      <c r="U619" s="125"/>
      <c r="V619" s="111"/>
      <c r="W619" s="112"/>
      <c r="X619" s="113"/>
      <c r="Z619" s="1"/>
      <c r="AA619" s="1"/>
    </row>
    <row r="620">
      <c r="D620" s="4"/>
      <c r="H620" s="1"/>
      <c r="I620" s="1"/>
      <c r="Q620" s="1"/>
      <c r="R620" s="1"/>
      <c r="U620" s="125"/>
      <c r="V620" s="111"/>
      <c r="W620" s="112"/>
      <c r="X620" s="113"/>
      <c r="Z620" s="1"/>
      <c r="AA620" s="1"/>
    </row>
    <row r="621">
      <c r="D621" s="4"/>
      <c r="H621" s="1"/>
      <c r="I621" s="1"/>
      <c r="Q621" s="1"/>
      <c r="R621" s="1"/>
      <c r="U621" s="125"/>
      <c r="V621" s="111"/>
      <c r="W621" s="112"/>
      <c r="X621" s="113"/>
      <c r="Z621" s="1"/>
      <c r="AA621" s="1"/>
    </row>
    <row r="622">
      <c r="D622" s="4"/>
      <c r="H622" s="1"/>
      <c r="I622" s="1"/>
      <c r="Q622" s="1"/>
      <c r="R622" s="1"/>
      <c r="U622" s="125"/>
      <c r="V622" s="111"/>
      <c r="W622" s="112"/>
      <c r="X622" s="113"/>
      <c r="Z622" s="1"/>
      <c r="AA622" s="1"/>
    </row>
    <row r="623">
      <c r="D623" s="4"/>
      <c r="H623" s="1"/>
      <c r="I623" s="1"/>
      <c r="Q623" s="1"/>
      <c r="R623" s="1"/>
      <c r="U623" s="125"/>
      <c r="V623" s="111"/>
      <c r="W623" s="112"/>
      <c r="X623" s="113"/>
      <c r="Z623" s="1"/>
      <c r="AA623" s="1"/>
    </row>
    <row r="624">
      <c r="D624" s="4"/>
      <c r="H624" s="1"/>
      <c r="I624" s="1"/>
      <c r="Q624" s="1"/>
      <c r="R624" s="1"/>
      <c r="U624" s="125"/>
      <c r="V624" s="111"/>
      <c r="W624" s="112"/>
      <c r="X624" s="113"/>
      <c r="Z624" s="1"/>
      <c r="AA624" s="1"/>
    </row>
    <row r="625">
      <c r="D625" s="4"/>
      <c r="H625" s="1"/>
      <c r="I625" s="1"/>
      <c r="Q625" s="1"/>
      <c r="R625" s="1"/>
      <c r="U625" s="125"/>
      <c r="V625" s="111"/>
      <c r="W625" s="112"/>
      <c r="X625" s="113"/>
      <c r="Z625" s="1"/>
      <c r="AA625" s="1"/>
    </row>
    <row r="626">
      <c r="D626" s="4"/>
      <c r="H626" s="1"/>
      <c r="I626" s="1"/>
      <c r="Q626" s="1"/>
      <c r="R626" s="1"/>
      <c r="U626" s="125"/>
      <c r="V626" s="111"/>
      <c r="W626" s="112"/>
      <c r="X626" s="113"/>
      <c r="Z626" s="1"/>
      <c r="AA626" s="1"/>
    </row>
    <row r="627">
      <c r="D627" s="4"/>
      <c r="H627" s="1"/>
      <c r="I627" s="1"/>
      <c r="Q627" s="1"/>
      <c r="R627" s="1"/>
      <c r="U627" s="125"/>
      <c r="V627" s="111"/>
      <c r="W627" s="112"/>
      <c r="X627" s="113"/>
      <c r="Z627" s="1"/>
      <c r="AA627" s="1"/>
    </row>
    <row r="628">
      <c r="D628" s="4"/>
      <c r="H628" s="1"/>
      <c r="I628" s="1"/>
      <c r="Q628" s="1"/>
      <c r="R628" s="1"/>
      <c r="U628" s="125"/>
      <c r="V628" s="111"/>
      <c r="W628" s="112"/>
      <c r="X628" s="113"/>
      <c r="Z628" s="1"/>
      <c r="AA628" s="1"/>
    </row>
    <row r="629">
      <c r="D629" s="4"/>
      <c r="H629" s="1"/>
      <c r="I629" s="1"/>
      <c r="Q629" s="1"/>
      <c r="R629" s="1"/>
      <c r="U629" s="125"/>
      <c r="V629" s="111"/>
      <c r="W629" s="112"/>
      <c r="X629" s="113"/>
      <c r="Z629" s="1"/>
      <c r="AA629" s="1"/>
    </row>
    <row r="630">
      <c r="D630" s="4"/>
      <c r="H630" s="1"/>
      <c r="I630" s="1"/>
      <c r="Q630" s="1"/>
      <c r="R630" s="1"/>
      <c r="U630" s="125"/>
      <c r="V630" s="111"/>
      <c r="W630" s="112"/>
      <c r="X630" s="113"/>
      <c r="Z630" s="1"/>
      <c r="AA630" s="1"/>
    </row>
    <row r="631">
      <c r="D631" s="4"/>
      <c r="H631" s="1"/>
      <c r="I631" s="1"/>
      <c r="Q631" s="1"/>
      <c r="R631" s="1"/>
      <c r="U631" s="125"/>
      <c r="V631" s="111"/>
      <c r="W631" s="112"/>
      <c r="X631" s="113"/>
      <c r="Z631" s="1"/>
      <c r="AA631" s="1"/>
    </row>
    <row r="632">
      <c r="D632" s="4"/>
      <c r="H632" s="1"/>
      <c r="I632" s="1"/>
      <c r="Q632" s="1"/>
      <c r="R632" s="1"/>
      <c r="U632" s="125"/>
      <c r="V632" s="111"/>
      <c r="W632" s="112"/>
      <c r="X632" s="113"/>
      <c r="Z632" s="1"/>
      <c r="AA632" s="1"/>
    </row>
    <row r="633">
      <c r="D633" s="4"/>
      <c r="H633" s="1"/>
      <c r="I633" s="1"/>
      <c r="Q633" s="1"/>
      <c r="R633" s="1"/>
      <c r="U633" s="125"/>
      <c r="V633" s="111"/>
      <c r="W633" s="112"/>
      <c r="X633" s="113"/>
      <c r="Z633" s="1"/>
      <c r="AA633" s="1"/>
    </row>
    <row r="634">
      <c r="D634" s="4"/>
      <c r="H634" s="1"/>
      <c r="I634" s="1"/>
      <c r="Q634" s="1"/>
      <c r="R634" s="1"/>
      <c r="U634" s="125"/>
      <c r="V634" s="111"/>
      <c r="W634" s="112"/>
      <c r="X634" s="113"/>
      <c r="Z634" s="1"/>
      <c r="AA634" s="1"/>
    </row>
    <row r="635">
      <c r="D635" s="4"/>
      <c r="H635" s="1"/>
      <c r="I635" s="1"/>
      <c r="Q635" s="1"/>
      <c r="R635" s="1"/>
      <c r="U635" s="125"/>
      <c r="V635" s="111"/>
      <c r="W635" s="112"/>
      <c r="X635" s="113"/>
      <c r="Z635" s="1"/>
      <c r="AA635" s="1"/>
    </row>
    <row r="636">
      <c r="D636" s="4"/>
      <c r="H636" s="1"/>
      <c r="I636" s="1"/>
      <c r="Q636" s="1"/>
      <c r="R636" s="1"/>
      <c r="U636" s="125"/>
      <c r="V636" s="111"/>
      <c r="W636" s="112"/>
      <c r="X636" s="113"/>
      <c r="Z636" s="1"/>
      <c r="AA636" s="1"/>
    </row>
    <row r="637">
      <c r="D637" s="4"/>
      <c r="H637" s="1"/>
      <c r="I637" s="1"/>
      <c r="Q637" s="1"/>
      <c r="R637" s="1"/>
      <c r="U637" s="125"/>
      <c r="V637" s="111"/>
      <c r="W637" s="112"/>
      <c r="X637" s="113"/>
      <c r="Z637" s="1"/>
      <c r="AA637" s="1"/>
    </row>
    <row r="638">
      <c r="D638" s="4"/>
      <c r="H638" s="1"/>
      <c r="I638" s="1"/>
      <c r="Q638" s="1"/>
      <c r="R638" s="1"/>
      <c r="U638" s="125"/>
      <c r="V638" s="111"/>
      <c r="W638" s="112"/>
      <c r="X638" s="113"/>
      <c r="Z638" s="1"/>
      <c r="AA638" s="1"/>
    </row>
    <row r="639">
      <c r="D639" s="4"/>
      <c r="H639" s="1"/>
      <c r="I639" s="1"/>
      <c r="Q639" s="1"/>
      <c r="R639" s="1"/>
      <c r="U639" s="125"/>
      <c r="V639" s="111"/>
      <c r="W639" s="112"/>
      <c r="X639" s="113"/>
      <c r="Z639" s="1"/>
      <c r="AA639" s="1"/>
    </row>
    <row r="640">
      <c r="D640" s="4"/>
      <c r="H640" s="1"/>
      <c r="I640" s="1"/>
      <c r="Q640" s="1"/>
      <c r="R640" s="1"/>
      <c r="U640" s="125"/>
      <c r="V640" s="111"/>
      <c r="W640" s="112"/>
      <c r="X640" s="113"/>
      <c r="Z640" s="1"/>
      <c r="AA640" s="1"/>
    </row>
    <row r="641">
      <c r="D641" s="4"/>
      <c r="H641" s="1"/>
      <c r="I641" s="1"/>
      <c r="Q641" s="1"/>
      <c r="R641" s="1"/>
      <c r="U641" s="125"/>
      <c r="V641" s="111"/>
      <c r="W641" s="112"/>
      <c r="X641" s="113"/>
      <c r="Z641" s="1"/>
      <c r="AA641" s="1"/>
    </row>
    <row r="642">
      <c r="D642" s="4"/>
      <c r="H642" s="1"/>
      <c r="I642" s="1"/>
      <c r="Q642" s="1"/>
      <c r="R642" s="1"/>
      <c r="U642" s="125"/>
      <c r="V642" s="111"/>
      <c r="W642" s="112"/>
      <c r="X642" s="113"/>
      <c r="Z642" s="1"/>
      <c r="AA642" s="1"/>
    </row>
    <row r="643">
      <c r="D643" s="4"/>
      <c r="H643" s="1"/>
      <c r="I643" s="1"/>
      <c r="Q643" s="1"/>
      <c r="R643" s="1"/>
      <c r="U643" s="125"/>
      <c r="V643" s="111"/>
      <c r="W643" s="112"/>
      <c r="X643" s="113"/>
      <c r="Z643" s="1"/>
      <c r="AA643" s="1"/>
    </row>
    <row r="644">
      <c r="D644" s="4"/>
      <c r="H644" s="1"/>
      <c r="I644" s="1"/>
      <c r="Q644" s="1"/>
      <c r="R644" s="1"/>
      <c r="U644" s="125"/>
      <c r="V644" s="111"/>
      <c r="W644" s="112"/>
      <c r="X644" s="113"/>
      <c r="Z644" s="1"/>
      <c r="AA644" s="1"/>
    </row>
    <row r="645">
      <c r="D645" s="4"/>
      <c r="H645" s="1"/>
      <c r="I645" s="1"/>
      <c r="Q645" s="1"/>
      <c r="R645" s="1"/>
      <c r="U645" s="125"/>
      <c r="V645" s="111"/>
      <c r="W645" s="112"/>
      <c r="X645" s="113"/>
      <c r="Z645" s="1"/>
      <c r="AA645" s="1"/>
    </row>
    <row r="646">
      <c r="D646" s="4"/>
      <c r="H646" s="1"/>
      <c r="I646" s="1"/>
      <c r="Q646" s="1"/>
      <c r="R646" s="1"/>
      <c r="U646" s="125"/>
      <c r="V646" s="111"/>
      <c r="W646" s="112"/>
      <c r="X646" s="113"/>
      <c r="Z646" s="1"/>
      <c r="AA646" s="1"/>
    </row>
    <row r="647">
      <c r="D647" s="4"/>
      <c r="H647" s="1"/>
      <c r="I647" s="1"/>
      <c r="Q647" s="1"/>
      <c r="R647" s="1"/>
      <c r="U647" s="125"/>
      <c r="V647" s="111"/>
      <c r="W647" s="112"/>
      <c r="X647" s="113"/>
      <c r="Z647" s="1"/>
      <c r="AA647" s="1"/>
    </row>
    <row r="648">
      <c r="D648" s="4"/>
      <c r="H648" s="1"/>
      <c r="I648" s="1"/>
      <c r="Q648" s="1"/>
      <c r="R648" s="1"/>
      <c r="U648" s="125"/>
      <c r="V648" s="111"/>
      <c r="W648" s="112"/>
      <c r="X648" s="113"/>
      <c r="Z648" s="1"/>
      <c r="AA648" s="1"/>
    </row>
    <row r="649">
      <c r="D649" s="4"/>
      <c r="H649" s="1"/>
      <c r="I649" s="1"/>
      <c r="Q649" s="1"/>
      <c r="R649" s="1"/>
      <c r="U649" s="125"/>
      <c r="V649" s="111"/>
      <c r="W649" s="112"/>
      <c r="X649" s="113"/>
      <c r="Z649" s="1"/>
      <c r="AA649" s="1"/>
    </row>
    <row r="650">
      <c r="D650" s="4"/>
      <c r="H650" s="1"/>
      <c r="I650" s="1"/>
      <c r="Q650" s="1"/>
      <c r="R650" s="1"/>
      <c r="U650" s="125"/>
      <c r="V650" s="111"/>
      <c r="W650" s="112"/>
      <c r="X650" s="113"/>
      <c r="Z650" s="1"/>
      <c r="AA650" s="1"/>
    </row>
    <row r="651">
      <c r="D651" s="4"/>
      <c r="H651" s="1"/>
      <c r="I651" s="1"/>
      <c r="Q651" s="1"/>
      <c r="R651" s="1"/>
      <c r="U651" s="125"/>
      <c r="V651" s="111"/>
      <c r="W651" s="112"/>
      <c r="X651" s="113"/>
      <c r="Z651" s="1"/>
      <c r="AA651" s="1"/>
    </row>
    <row r="652">
      <c r="D652" s="4"/>
      <c r="H652" s="1"/>
      <c r="I652" s="1"/>
      <c r="Q652" s="1"/>
      <c r="R652" s="1"/>
      <c r="U652" s="125"/>
      <c r="V652" s="111"/>
      <c r="W652" s="112"/>
      <c r="X652" s="113"/>
      <c r="Z652" s="1"/>
      <c r="AA652" s="1"/>
    </row>
    <row r="653">
      <c r="D653" s="4"/>
      <c r="H653" s="1"/>
      <c r="I653" s="1"/>
      <c r="Q653" s="1"/>
      <c r="R653" s="1"/>
      <c r="U653" s="125"/>
      <c r="V653" s="111"/>
      <c r="W653" s="112"/>
      <c r="X653" s="113"/>
      <c r="Z653" s="1"/>
      <c r="AA653" s="1"/>
    </row>
    <row r="654">
      <c r="D654" s="4"/>
      <c r="H654" s="1"/>
      <c r="I654" s="1"/>
      <c r="Q654" s="1"/>
      <c r="R654" s="1"/>
      <c r="U654" s="125"/>
      <c r="V654" s="111"/>
      <c r="W654" s="112"/>
      <c r="X654" s="113"/>
      <c r="Z654" s="1"/>
      <c r="AA654" s="1"/>
    </row>
    <row r="655">
      <c r="D655" s="4"/>
      <c r="H655" s="1"/>
      <c r="I655" s="1"/>
      <c r="Q655" s="1"/>
      <c r="R655" s="1"/>
      <c r="U655" s="125"/>
      <c r="V655" s="111"/>
      <c r="W655" s="112"/>
      <c r="X655" s="113"/>
      <c r="Z655" s="1"/>
      <c r="AA655" s="1"/>
    </row>
    <row r="656">
      <c r="D656" s="4"/>
      <c r="H656" s="1"/>
      <c r="I656" s="1"/>
      <c r="Q656" s="1"/>
      <c r="R656" s="1"/>
      <c r="U656" s="125"/>
      <c r="V656" s="111"/>
      <c r="W656" s="112"/>
      <c r="X656" s="113"/>
      <c r="Z656" s="1"/>
      <c r="AA656" s="1"/>
    </row>
    <row r="657">
      <c r="D657" s="4"/>
      <c r="H657" s="1"/>
      <c r="I657" s="1"/>
      <c r="Q657" s="1"/>
      <c r="R657" s="1"/>
      <c r="U657" s="125"/>
      <c r="V657" s="111"/>
      <c r="W657" s="112"/>
      <c r="X657" s="113"/>
      <c r="Z657" s="1"/>
      <c r="AA657" s="1"/>
    </row>
    <row r="658">
      <c r="D658" s="4"/>
      <c r="H658" s="1"/>
      <c r="I658" s="1"/>
      <c r="Q658" s="1"/>
      <c r="R658" s="1"/>
      <c r="U658" s="125"/>
      <c r="V658" s="111"/>
      <c r="W658" s="112"/>
      <c r="X658" s="113"/>
      <c r="Z658" s="1"/>
      <c r="AA658" s="1"/>
    </row>
    <row r="659">
      <c r="D659" s="4"/>
      <c r="H659" s="1"/>
      <c r="I659" s="1"/>
      <c r="Q659" s="1"/>
      <c r="R659" s="1"/>
      <c r="U659" s="125"/>
      <c r="V659" s="111"/>
      <c r="W659" s="112"/>
      <c r="X659" s="113"/>
      <c r="Z659" s="1"/>
      <c r="AA659" s="1"/>
    </row>
    <row r="660">
      <c r="D660" s="4"/>
      <c r="H660" s="1"/>
      <c r="I660" s="1"/>
      <c r="Q660" s="1"/>
      <c r="R660" s="1"/>
      <c r="U660" s="125"/>
      <c r="V660" s="111"/>
      <c r="W660" s="112"/>
      <c r="X660" s="113"/>
      <c r="Z660" s="1"/>
      <c r="AA660" s="1"/>
    </row>
    <row r="661">
      <c r="D661" s="4"/>
      <c r="H661" s="1"/>
      <c r="I661" s="1"/>
      <c r="Q661" s="1"/>
      <c r="R661" s="1"/>
      <c r="U661" s="125"/>
      <c r="V661" s="111"/>
      <c r="W661" s="112"/>
      <c r="X661" s="113"/>
      <c r="Z661" s="1"/>
      <c r="AA661" s="1"/>
    </row>
    <row r="662">
      <c r="D662" s="4"/>
      <c r="H662" s="1"/>
      <c r="I662" s="1"/>
      <c r="Q662" s="1"/>
      <c r="R662" s="1"/>
      <c r="U662" s="125"/>
      <c r="V662" s="111"/>
      <c r="W662" s="112"/>
      <c r="X662" s="113"/>
      <c r="Z662" s="1"/>
      <c r="AA662" s="1"/>
    </row>
    <row r="663">
      <c r="D663" s="4"/>
      <c r="H663" s="1"/>
      <c r="I663" s="1"/>
      <c r="Q663" s="1"/>
      <c r="R663" s="1"/>
      <c r="U663" s="125"/>
      <c r="V663" s="111"/>
      <c r="W663" s="112"/>
      <c r="X663" s="113"/>
      <c r="Z663" s="1"/>
      <c r="AA663" s="1"/>
    </row>
    <row r="664">
      <c r="D664" s="4"/>
      <c r="H664" s="1"/>
      <c r="I664" s="1"/>
      <c r="Q664" s="1"/>
      <c r="R664" s="1"/>
      <c r="U664" s="125"/>
      <c r="V664" s="111"/>
      <c r="W664" s="112"/>
      <c r="X664" s="113"/>
      <c r="Z664" s="1"/>
      <c r="AA664" s="1"/>
    </row>
    <row r="665">
      <c r="D665" s="4"/>
      <c r="H665" s="1"/>
      <c r="I665" s="1"/>
      <c r="Q665" s="1"/>
      <c r="R665" s="1"/>
      <c r="U665" s="125"/>
      <c r="V665" s="111"/>
      <c r="W665" s="112"/>
      <c r="X665" s="113"/>
      <c r="Z665" s="1"/>
      <c r="AA665" s="1"/>
    </row>
    <row r="666">
      <c r="D666" s="4"/>
      <c r="H666" s="1"/>
      <c r="I666" s="1"/>
      <c r="Q666" s="1"/>
      <c r="R666" s="1"/>
      <c r="U666" s="125"/>
      <c r="V666" s="111"/>
      <c r="W666" s="112"/>
      <c r="X666" s="113"/>
      <c r="Z666" s="1"/>
      <c r="AA666" s="1"/>
    </row>
    <row r="667">
      <c r="D667" s="4"/>
      <c r="H667" s="1"/>
      <c r="I667" s="1"/>
      <c r="Q667" s="1"/>
      <c r="R667" s="1"/>
      <c r="U667" s="125"/>
      <c r="V667" s="111"/>
      <c r="W667" s="112"/>
      <c r="X667" s="113"/>
      <c r="Z667" s="1"/>
      <c r="AA667" s="1"/>
    </row>
    <row r="668">
      <c r="D668" s="4"/>
      <c r="H668" s="1"/>
      <c r="I668" s="1"/>
      <c r="Q668" s="1"/>
      <c r="R668" s="1"/>
      <c r="U668" s="125"/>
      <c r="V668" s="111"/>
      <c r="W668" s="112"/>
      <c r="X668" s="113"/>
      <c r="Z668" s="1"/>
      <c r="AA668" s="1"/>
    </row>
    <row r="669">
      <c r="D669" s="4"/>
      <c r="H669" s="1"/>
      <c r="I669" s="1"/>
      <c r="Q669" s="1"/>
      <c r="R669" s="1"/>
      <c r="U669" s="125"/>
      <c r="V669" s="111"/>
      <c r="W669" s="112"/>
      <c r="X669" s="113"/>
      <c r="Z669" s="1"/>
      <c r="AA669" s="1"/>
    </row>
    <row r="670">
      <c r="D670" s="4"/>
      <c r="H670" s="1"/>
      <c r="I670" s="1"/>
      <c r="Q670" s="1"/>
      <c r="R670" s="1"/>
      <c r="U670" s="125"/>
      <c r="V670" s="111"/>
      <c r="W670" s="112"/>
      <c r="X670" s="113"/>
      <c r="Z670" s="1"/>
      <c r="AA670" s="1"/>
    </row>
    <row r="671">
      <c r="D671" s="4"/>
      <c r="H671" s="1"/>
      <c r="I671" s="1"/>
      <c r="Q671" s="1"/>
      <c r="R671" s="1"/>
      <c r="U671" s="125"/>
      <c r="V671" s="111"/>
      <c r="W671" s="112"/>
      <c r="X671" s="113"/>
      <c r="Z671" s="1"/>
      <c r="AA671" s="1"/>
    </row>
    <row r="672">
      <c r="D672" s="4"/>
      <c r="H672" s="1"/>
      <c r="I672" s="1"/>
      <c r="Q672" s="1"/>
      <c r="R672" s="1"/>
      <c r="U672" s="125"/>
      <c r="V672" s="111"/>
      <c r="W672" s="112"/>
      <c r="X672" s="113"/>
      <c r="Z672" s="1"/>
      <c r="AA672" s="1"/>
    </row>
    <row r="673">
      <c r="D673" s="4"/>
      <c r="H673" s="1"/>
      <c r="I673" s="1"/>
      <c r="Q673" s="1"/>
      <c r="R673" s="1"/>
      <c r="U673" s="125"/>
      <c r="V673" s="111"/>
      <c r="W673" s="112"/>
      <c r="X673" s="113"/>
      <c r="Z673" s="1"/>
      <c r="AA673" s="1"/>
    </row>
    <row r="674">
      <c r="D674" s="4"/>
      <c r="H674" s="1"/>
      <c r="I674" s="1"/>
      <c r="Q674" s="1"/>
      <c r="R674" s="1"/>
      <c r="U674" s="125"/>
      <c r="V674" s="111"/>
      <c r="W674" s="112"/>
      <c r="X674" s="113"/>
      <c r="Z674" s="1"/>
      <c r="AA674" s="1"/>
    </row>
    <row r="675">
      <c r="D675" s="4"/>
      <c r="H675" s="1"/>
      <c r="I675" s="1"/>
      <c r="Q675" s="1"/>
      <c r="R675" s="1"/>
      <c r="U675" s="125"/>
      <c r="V675" s="111"/>
      <c r="W675" s="112"/>
      <c r="X675" s="113"/>
      <c r="Z675" s="1"/>
      <c r="AA675" s="1"/>
    </row>
    <row r="676">
      <c r="D676" s="4"/>
      <c r="H676" s="1"/>
      <c r="I676" s="1"/>
      <c r="Q676" s="1"/>
      <c r="R676" s="1"/>
      <c r="U676" s="125"/>
      <c r="V676" s="111"/>
      <c r="W676" s="112"/>
      <c r="X676" s="113"/>
      <c r="Z676" s="1"/>
      <c r="AA676" s="1"/>
    </row>
    <row r="677">
      <c r="D677" s="4"/>
      <c r="H677" s="1"/>
      <c r="I677" s="1"/>
      <c r="Q677" s="1"/>
      <c r="R677" s="1"/>
      <c r="U677" s="125"/>
      <c r="V677" s="111"/>
      <c r="W677" s="112"/>
      <c r="X677" s="113"/>
      <c r="Z677" s="1"/>
      <c r="AA677" s="1"/>
    </row>
    <row r="678">
      <c r="D678" s="4"/>
      <c r="H678" s="1"/>
      <c r="I678" s="1"/>
      <c r="Q678" s="1"/>
      <c r="R678" s="1"/>
      <c r="U678" s="125"/>
      <c r="V678" s="111"/>
      <c r="W678" s="112"/>
      <c r="X678" s="113"/>
      <c r="Z678" s="1"/>
      <c r="AA678" s="1"/>
    </row>
    <row r="679">
      <c r="D679" s="4"/>
      <c r="H679" s="1"/>
      <c r="I679" s="1"/>
      <c r="Q679" s="1"/>
      <c r="R679" s="1"/>
      <c r="U679" s="125"/>
      <c r="V679" s="111"/>
      <c r="W679" s="112"/>
      <c r="X679" s="113"/>
      <c r="Z679" s="1"/>
      <c r="AA679" s="1"/>
    </row>
    <row r="680">
      <c r="D680" s="4"/>
      <c r="H680" s="1"/>
      <c r="I680" s="1"/>
      <c r="Q680" s="1"/>
      <c r="R680" s="1"/>
      <c r="U680" s="125"/>
      <c r="V680" s="111"/>
      <c r="W680" s="112"/>
      <c r="X680" s="113"/>
      <c r="Z680" s="1"/>
      <c r="AA680" s="1"/>
    </row>
    <row r="681">
      <c r="D681" s="4"/>
      <c r="H681" s="1"/>
      <c r="I681" s="1"/>
      <c r="Q681" s="1"/>
      <c r="R681" s="1"/>
      <c r="U681" s="125"/>
      <c r="V681" s="111"/>
      <c r="W681" s="112"/>
      <c r="X681" s="113"/>
      <c r="Z681" s="1"/>
      <c r="AA681" s="1"/>
    </row>
    <row r="682">
      <c r="D682" s="4"/>
      <c r="H682" s="1"/>
      <c r="I682" s="1"/>
      <c r="Q682" s="1"/>
      <c r="R682" s="1"/>
      <c r="U682" s="125"/>
      <c r="V682" s="111"/>
      <c r="W682" s="112"/>
      <c r="X682" s="113"/>
      <c r="Z682" s="1"/>
      <c r="AA682" s="1"/>
    </row>
    <row r="683">
      <c r="D683" s="4"/>
      <c r="H683" s="1"/>
      <c r="I683" s="1"/>
      <c r="Q683" s="1"/>
      <c r="R683" s="1"/>
      <c r="U683" s="125"/>
      <c r="V683" s="111"/>
      <c r="W683" s="112"/>
      <c r="X683" s="113"/>
      <c r="Z683" s="1"/>
      <c r="AA683" s="1"/>
    </row>
    <row r="684">
      <c r="D684" s="4"/>
      <c r="H684" s="1"/>
      <c r="I684" s="1"/>
      <c r="Q684" s="1"/>
      <c r="R684" s="1"/>
      <c r="U684" s="125"/>
      <c r="V684" s="111"/>
      <c r="W684" s="112"/>
      <c r="X684" s="113"/>
      <c r="Z684" s="1"/>
      <c r="AA684" s="1"/>
    </row>
    <row r="685">
      <c r="D685" s="4"/>
      <c r="H685" s="1"/>
      <c r="I685" s="1"/>
      <c r="Q685" s="1"/>
      <c r="R685" s="1"/>
      <c r="U685" s="125"/>
      <c r="V685" s="111"/>
      <c r="W685" s="112"/>
      <c r="X685" s="113"/>
      <c r="Z685" s="1"/>
      <c r="AA685" s="1"/>
    </row>
    <row r="686">
      <c r="D686" s="4"/>
      <c r="H686" s="1"/>
      <c r="I686" s="1"/>
      <c r="Q686" s="1"/>
      <c r="R686" s="1"/>
      <c r="U686" s="125"/>
      <c r="V686" s="111"/>
      <c r="W686" s="112"/>
      <c r="X686" s="113"/>
      <c r="Z686" s="1"/>
      <c r="AA686" s="1"/>
    </row>
    <row r="687">
      <c r="D687" s="4"/>
      <c r="H687" s="1"/>
      <c r="I687" s="1"/>
      <c r="Q687" s="1"/>
      <c r="R687" s="1"/>
      <c r="U687" s="125"/>
      <c r="V687" s="111"/>
      <c r="W687" s="112"/>
      <c r="X687" s="113"/>
      <c r="Z687" s="1"/>
      <c r="AA687" s="1"/>
    </row>
    <row r="688">
      <c r="D688" s="4"/>
      <c r="H688" s="1"/>
      <c r="I688" s="1"/>
      <c r="Q688" s="1"/>
      <c r="R688" s="1"/>
      <c r="U688" s="125"/>
      <c r="V688" s="111"/>
      <c r="W688" s="112"/>
      <c r="X688" s="113"/>
      <c r="Z688" s="1"/>
      <c r="AA688" s="1"/>
    </row>
    <row r="689">
      <c r="D689" s="4"/>
      <c r="H689" s="1"/>
      <c r="I689" s="1"/>
      <c r="Q689" s="1"/>
      <c r="R689" s="1"/>
      <c r="U689" s="125"/>
      <c r="V689" s="111"/>
      <c r="W689" s="112"/>
      <c r="X689" s="113"/>
      <c r="Z689" s="1"/>
      <c r="AA689" s="1"/>
    </row>
    <row r="690">
      <c r="D690" s="4"/>
      <c r="H690" s="1"/>
      <c r="I690" s="1"/>
      <c r="Q690" s="1"/>
      <c r="R690" s="1"/>
      <c r="U690" s="125"/>
      <c r="V690" s="111"/>
      <c r="W690" s="112"/>
      <c r="X690" s="113"/>
      <c r="Z690" s="1"/>
      <c r="AA690" s="1"/>
    </row>
    <row r="691">
      <c r="D691" s="4"/>
      <c r="H691" s="1"/>
      <c r="I691" s="1"/>
      <c r="Q691" s="1"/>
      <c r="R691" s="1"/>
      <c r="U691" s="125"/>
      <c r="V691" s="111"/>
      <c r="W691" s="112"/>
      <c r="X691" s="113"/>
      <c r="Z691" s="1"/>
      <c r="AA691" s="1"/>
    </row>
    <row r="692">
      <c r="D692" s="4"/>
      <c r="H692" s="1"/>
      <c r="I692" s="1"/>
      <c r="Q692" s="1"/>
      <c r="R692" s="1"/>
      <c r="U692" s="125"/>
      <c r="V692" s="111"/>
      <c r="W692" s="112"/>
      <c r="X692" s="113"/>
      <c r="Z692" s="1"/>
      <c r="AA692" s="1"/>
    </row>
    <row r="693">
      <c r="D693" s="4"/>
      <c r="H693" s="1"/>
      <c r="I693" s="1"/>
      <c r="Q693" s="1"/>
      <c r="R693" s="1"/>
      <c r="U693" s="125"/>
      <c r="V693" s="111"/>
      <c r="W693" s="112"/>
      <c r="X693" s="113"/>
      <c r="Z693" s="1"/>
      <c r="AA693" s="1"/>
    </row>
    <row r="694">
      <c r="D694" s="4"/>
      <c r="H694" s="1"/>
      <c r="I694" s="1"/>
      <c r="Q694" s="1"/>
      <c r="R694" s="1"/>
      <c r="U694" s="125"/>
      <c r="V694" s="111"/>
      <c r="W694" s="112"/>
      <c r="X694" s="113"/>
      <c r="Z694" s="1"/>
      <c r="AA694" s="1"/>
    </row>
    <row r="695">
      <c r="D695" s="4"/>
      <c r="H695" s="1"/>
      <c r="I695" s="1"/>
      <c r="Q695" s="1"/>
      <c r="R695" s="1"/>
      <c r="U695" s="125"/>
      <c r="V695" s="111"/>
      <c r="W695" s="112"/>
      <c r="X695" s="113"/>
      <c r="Z695" s="1"/>
      <c r="AA695" s="1"/>
    </row>
    <row r="696">
      <c r="D696" s="4"/>
      <c r="H696" s="1"/>
      <c r="I696" s="1"/>
      <c r="Q696" s="1"/>
      <c r="R696" s="1"/>
      <c r="U696" s="125"/>
      <c r="V696" s="111"/>
      <c r="W696" s="112"/>
      <c r="X696" s="113"/>
      <c r="Z696" s="1"/>
      <c r="AA696" s="1"/>
    </row>
    <row r="697">
      <c r="D697" s="4"/>
      <c r="H697" s="1"/>
      <c r="I697" s="1"/>
      <c r="Q697" s="1"/>
      <c r="R697" s="1"/>
      <c r="U697" s="125"/>
      <c r="V697" s="111"/>
      <c r="W697" s="112"/>
      <c r="X697" s="113"/>
      <c r="Z697" s="1"/>
      <c r="AA697" s="1"/>
    </row>
    <row r="698">
      <c r="D698" s="4"/>
      <c r="H698" s="1"/>
      <c r="I698" s="1"/>
      <c r="Q698" s="1"/>
      <c r="R698" s="1"/>
      <c r="U698" s="125"/>
      <c r="V698" s="111"/>
      <c r="W698" s="112"/>
      <c r="X698" s="113"/>
      <c r="Z698" s="1"/>
      <c r="AA698" s="1"/>
    </row>
    <row r="699">
      <c r="D699" s="4"/>
      <c r="H699" s="1"/>
      <c r="I699" s="1"/>
      <c r="Q699" s="1"/>
      <c r="R699" s="1"/>
      <c r="U699" s="125"/>
      <c r="V699" s="111"/>
      <c r="W699" s="112"/>
      <c r="X699" s="113"/>
      <c r="Z699" s="1"/>
      <c r="AA699" s="1"/>
    </row>
    <row r="700">
      <c r="D700" s="4"/>
      <c r="H700" s="1"/>
      <c r="I700" s="1"/>
      <c r="Q700" s="1"/>
      <c r="R700" s="1"/>
      <c r="U700" s="125"/>
      <c r="V700" s="111"/>
      <c r="W700" s="112"/>
      <c r="X700" s="113"/>
      <c r="Z700" s="1"/>
      <c r="AA700" s="1"/>
    </row>
    <row r="701">
      <c r="D701" s="4"/>
      <c r="H701" s="1"/>
      <c r="I701" s="1"/>
      <c r="Q701" s="1"/>
      <c r="R701" s="1"/>
      <c r="U701" s="125"/>
      <c r="V701" s="111"/>
      <c r="W701" s="112"/>
      <c r="X701" s="113"/>
      <c r="Z701" s="1"/>
      <c r="AA701" s="1"/>
    </row>
    <row r="702">
      <c r="D702" s="4"/>
      <c r="H702" s="1"/>
      <c r="I702" s="1"/>
      <c r="Q702" s="1"/>
      <c r="R702" s="1"/>
      <c r="U702" s="125"/>
      <c r="V702" s="111"/>
      <c r="W702" s="112"/>
      <c r="X702" s="113"/>
      <c r="Z702" s="1"/>
      <c r="AA702" s="1"/>
    </row>
    <row r="703">
      <c r="D703" s="4"/>
      <c r="H703" s="1"/>
      <c r="I703" s="1"/>
      <c r="Q703" s="1"/>
      <c r="R703" s="1"/>
      <c r="U703" s="125"/>
      <c r="V703" s="111"/>
      <c r="W703" s="112"/>
      <c r="X703" s="113"/>
      <c r="Z703" s="1"/>
      <c r="AA703" s="1"/>
    </row>
    <row r="704">
      <c r="D704" s="4"/>
      <c r="H704" s="1"/>
      <c r="I704" s="1"/>
      <c r="Q704" s="1"/>
      <c r="R704" s="1"/>
      <c r="U704" s="125"/>
      <c r="V704" s="111"/>
      <c r="W704" s="112"/>
      <c r="X704" s="113"/>
      <c r="Z704" s="1"/>
      <c r="AA704" s="1"/>
    </row>
    <row r="705">
      <c r="D705" s="4"/>
      <c r="H705" s="1"/>
      <c r="I705" s="1"/>
      <c r="Q705" s="1"/>
      <c r="R705" s="1"/>
      <c r="U705" s="125"/>
      <c r="V705" s="111"/>
      <c r="W705" s="112"/>
      <c r="X705" s="113"/>
      <c r="Z705" s="1"/>
      <c r="AA705" s="1"/>
    </row>
    <row r="706">
      <c r="D706" s="4"/>
      <c r="H706" s="1"/>
      <c r="I706" s="1"/>
      <c r="Q706" s="1"/>
      <c r="R706" s="1"/>
      <c r="U706" s="125"/>
      <c r="V706" s="111"/>
      <c r="W706" s="112"/>
      <c r="X706" s="113"/>
      <c r="Z706" s="1"/>
      <c r="AA706" s="1"/>
    </row>
    <row r="707">
      <c r="D707" s="4"/>
      <c r="H707" s="1"/>
      <c r="I707" s="1"/>
      <c r="Q707" s="1"/>
      <c r="R707" s="1"/>
      <c r="U707" s="125"/>
      <c r="V707" s="111"/>
      <c r="W707" s="112"/>
      <c r="X707" s="113"/>
      <c r="Z707" s="1"/>
      <c r="AA707" s="1"/>
    </row>
    <row r="708">
      <c r="D708" s="4"/>
      <c r="H708" s="1"/>
      <c r="I708" s="1"/>
      <c r="Q708" s="1"/>
      <c r="R708" s="1"/>
      <c r="U708" s="125"/>
      <c r="V708" s="111"/>
      <c r="W708" s="112"/>
      <c r="X708" s="113"/>
      <c r="Z708" s="1"/>
      <c r="AA708" s="1"/>
    </row>
    <row r="709">
      <c r="D709" s="4"/>
      <c r="H709" s="1"/>
      <c r="I709" s="1"/>
      <c r="Q709" s="1"/>
      <c r="R709" s="1"/>
      <c r="U709" s="125"/>
      <c r="V709" s="111"/>
      <c r="W709" s="112"/>
      <c r="X709" s="113"/>
      <c r="Z709" s="1"/>
      <c r="AA709" s="1"/>
    </row>
    <row r="710">
      <c r="D710" s="4"/>
      <c r="H710" s="1"/>
      <c r="I710" s="1"/>
      <c r="Q710" s="1"/>
      <c r="R710" s="1"/>
      <c r="U710" s="125"/>
      <c r="V710" s="111"/>
      <c r="W710" s="112"/>
      <c r="X710" s="113"/>
      <c r="Z710" s="1"/>
      <c r="AA710" s="1"/>
    </row>
    <row r="711">
      <c r="D711" s="4"/>
      <c r="H711" s="1"/>
      <c r="I711" s="1"/>
      <c r="Q711" s="1"/>
      <c r="R711" s="1"/>
      <c r="U711" s="125"/>
      <c r="V711" s="111"/>
      <c r="W711" s="112"/>
      <c r="X711" s="113"/>
      <c r="Z711" s="1"/>
      <c r="AA711" s="1"/>
    </row>
    <row r="712">
      <c r="D712" s="4"/>
      <c r="H712" s="1"/>
      <c r="I712" s="1"/>
      <c r="Q712" s="1"/>
      <c r="R712" s="1"/>
      <c r="U712" s="125"/>
      <c r="V712" s="111"/>
      <c r="W712" s="112"/>
      <c r="X712" s="113"/>
      <c r="Z712" s="1"/>
      <c r="AA712" s="1"/>
    </row>
    <row r="713">
      <c r="D713" s="4"/>
      <c r="H713" s="1"/>
      <c r="I713" s="1"/>
      <c r="Q713" s="1"/>
      <c r="R713" s="1"/>
      <c r="U713" s="125"/>
      <c r="V713" s="111"/>
      <c r="W713" s="112"/>
      <c r="X713" s="113"/>
      <c r="Z713" s="1"/>
      <c r="AA713" s="1"/>
    </row>
    <row r="714">
      <c r="D714" s="4"/>
      <c r="H714" s="1"/>
      <c r="I714" s="1"/>
      <c r="Q714" s="1"/>
      <c r="R714" s="1"/>
      <c r="U714" s="125"/>
      <c r="V714" s="111"/>
      <c r="W714" s="112"/>
      <c r="X714" s="113"/>
      <c r="Z714" s="1"/>
      <c r="AA714" s="1"/>
    </row>
    <row r="715">
      <c r="D715" s="4"/>
      <c r="H715" s="1"/>
      <c r="I715" s="1"/>
      <c r="Q715" s="1"/>
      <c r="R715" s="1"/>
      <c r="U715" s="125"/>
      <c r="V715" s="111"/>
      <c r="W715" s="112"/>
      <c r="X715" s="113"/>
      <c r="Z715" s="1"/>
      <c r="AA715" s="1"/>
    </row>
    <row r="716">
      <c r="D716" s="4"/>
      <c r="H716" s="1"/>
      <c r="I716" s="1"/>
      <c r="Q716" s="1"/>
      <c r="R716" s="1"/>
      <c r="U716" s="125"/>
      <c r="V716" s="111"/>
      <c r="W716" s="112"/>
      <c r="X716" s="113"/>
      <c r="Z716" s="1"/>
      <c r="AA716" s="1"/>
    </row>
    <row r="717">
      <c r="D717" s="4"/>
      <c r="H717" s="1"/>
      <c r="I717" s="1"/>
      <c r="Q717" s="1"/>
      <c r="R717" s="1"/>
      <c r="U717" s="125"/>
      <c r="V717" s="111"/>
      <c r="W717" s="112"/>
      <c r="X717" s="113"/>
      <c r="Z717" s="1"/>
      <c r="AA717" s="1"/>
    </row>
    <row r="718">
      <c r="D718" s="4"/>
      <c r="H718" s="1"/>
      <c r="I718" s="1"/>
      <c r="Q718" s="1"/>
      <c r="R718" s="1"/>
      <c r="U718" s="125"/>
      <c r="V718" s="111"/>
      <c r="W718" s="112"/>
      <c r="X718" s="113"/>
      <c r="Z718" s="1"/>
      <c r="AA718" s="1"/>
    </row>
    <row r="719">
      <c r="D719" s="4"/>
      <c r="H719" s="1"/>
      <c r="I719" s="1"/>
      <c r="Q719" s="1"/>
      <c r="R719" s="1"/>
      <c r="U719" s="125"/>
      <c r="V719" s="111"/>
      <c r="W719" s="112"/>
      <c r="X719" s="113"/>
      <c r="Z719" s="1"/>
      <c r="AA719" s="1"/>
    </row>
    <row r="720">
      <c r="D720" s="4"/>
      <c r="H720" s="1"/>
      <c r="I720" s="1"/>
      <c r="Q720" s="1"/>
      <c r="R720" s="1"/>
      <c r="U720" s="125"/>
      <c r="V720" s="111"/>
      <c r="W720" s="112"/>
      <c r="X720" s="113"/>
      <c r="Z720" s="1"/>
      <c r="AA720" s="1"/>
    </row>
    <row r="721">
      <c r="D721" s="4"/>
      <c r="H721" s="1"/>
      <c r="I721" s="1"/>
      <c r="Q721" s="1"/>
      <c r="R721" s="1"/>
      <c r="U721" s="125"/>
      <c r="V721" s="111"/>
      <c r="W721" s="112"/>
      <c r="X721" s="113"/>
      <c r="Z721" s="1"/>
      <c r="AA721" s="1"/>
    </row>
    <row r="722">
      <c r="D722" s="4"/>
      <c r="H722" s="1"/>
      <c r="I722" s="1"/>
      <c r="Q722" s="1"/>
      <c r="R722" s="1"/>
      <c r="U722" s="125"/>
      <c r="V722" s="111"/>
      <c r="W722" s="112"/>
      <c r="X722" s="113"/>
      <c r="Z722" s="1"/>
      <c r="AA722" s="1"/>
    </row>
    <row r="723">
      <c r="D723" s="4"/>
      <c r="H723" s="1"/>
      <c r="I723" s="1"/>
      <c r="Q723" s="1"/>
      <c r="R723" s="1"/>
      <c r="U723" s="125"/>
      <c r="V723" s="111"/>
      <c r="W723" s="112"/>
      <c r="X723" s="113"/>
      <c r="Z723" s="1"/>
      <c r="AA723" s="1"/>
    </row>
    <row r="724">
      <c r="D724" s="4"/>
      <c r="H724" s="1"/>
      <c r="I724" s="1"/>
      <c r="Q724" s="1"/>
      <c r="R724" s="1"/>
      <c r="U724" s="125"/>
      <c r="V724" s="111"/>
      <c r="W724" s="112"/>
      <c r="X724" s="113"/>
      <c r="Z724" s="1"/>
      <c r="AA724" s="1"/>
    </row>
    <row r="725">
      <c r="D725" s="4"/>
      <c r="H725" s="1"/>
      <c r="I725" s="1"/>
      <c r="Q725" s="1"/>
      <c r="R725" s="1"/>
      <c r="U725" s="125"/>
      <c r="V725" s="111"/>
      <c r="W725" s="112"/>
      <c r="X725" s="113"/>
      <c r="Z725" s="1"/>
      <c r="AA725" s="1"/>
    </row>
    <row r="726">
      <c r="D726" s="4"/>
      <c r="H726" s="1"/>
      <c r="I726" s="1"/>
      <c r="Q726" s="1"/>
      <c r="R726" s="1"/>
      <c r="U726" s="125"/>
      <c r="V726" s="111"/>
      <c r="W726" s="112"/>
      <c r="X726" s="113"/>
      <c r="Z726" s="1"/>
      <c r="AA726" s="1"/>
    </row>
    <row r="727">
      <c r="D727" s="4"/>
      <c r="H727" s="1"/>
      <c r="I727" s="1"/>
      <c r="Q727" s="1"/>
      <c r="R727" s="1"/>
      <c r="U727" s="125"/>
      <c r="V727" s="111"/>
      <c r="W727" s="112"/>
      <c r="X727" s="113"/>
      <c r="Z727" s="1"/>
      <c r="AA727" s="1"/>
    </row>
    <row r="728">
      <c r="D728" s="4"/>
      <c r="H728" s="1"/>
      <c r="I728" s="1"/>
      <c r="Q728" s="1"/>
      <c r="R728" s="1"/>
      <c r="U728" s="125"/>
      <c r="V728" s="111"/>
      <c r="W728" s="112"/>
      <c r="X728" s="113"/>
      <c r="Z728" s="1"/>
      <c r="AA728" s="1"/>
    </row>
    <row r="729">
      <c r="D729" s="4"/>
      <c r="H729" s="1"/>
      <c r="I729" s="1"/>
      <c r="Q729" s="1"/>
      <c r="R729" s="1"/>
      <c r="U729" s="125"/>
      <c r="V729" s="111"/>
      <c r="W729" s="112"/>
      <c r="X729" s="113"/>
      <c r="Z729" s="1"/>
      <c r="AA729" s="1"/>
    </row>
    <row r="730">
      <c r="D730" s="4"/>
      <c r="H730" s="1"/>
      <c r="I730" s="1"/>
      <c r="Q730" s="1"/>
      <c r="R730" s="1"/>
      <c r="U730" s="125"/>
      <c r="V730" s="111"/>
      <c r="W730" s="112"/>
      <c r="X730" s="113"/>
      <c r="Z730" s="1"/>
      <c r="AA730" s="1"/>
    </row>
    <row r="731">
      <c r="D731" s="4"/>
      <c r="H731" s="1"/>
      <c r="I731" s="1"/>
      <c r="Q731" s="1"/>
      <c r="R731" s="1"/>
      <c r="U731" s="125"/>
      <c r="V731" s="111"/>
      <c r="W731" s="112"/>
      <c r="X731" s="113"/>
      <c r="Z731" s="1"/>
      <c r="AA731" s="1"/>
    </row>
    <row r="732">
      <c r="D732" s="4"/>
      <c r="H732" s="1"/>
      <c r="I732" s="1"/>
      <c r="Q732" s="1"/>
      <c r="R732" s="1"/>
      <c r="U732" s="125"/>
      <c r="V732" s="111"/>
      <c r="W732" s="112"/>
      <c r="X732" s="113"/>
      <c r="Z732" s="1"/>
      <c r="AA732" s="1"/>
    </row>
    <row r="733">
      <c r="D733" s="4"/>
      <c r="H733" s="1"/>
      <c r="I733" s="1"/>
      <c r="Q733" s="1"/>
      <c r="R733" s="1"/>
      <c r="U733" s="125"/>
      <c r="V733" s="111"/>
      <c r="W733" s="112"/>
      <c r="X733" s="113"/>
      <c r="Z733" s="1"/>
      <c r="AA733" s="1"/>
    </row>
    <row r="734">
      <c r="D734" s="4"/>
      <c r="H734" s="1"/>
      <c r="I734" s="1"/>
      <c r="Q734" s="1"/>
      <c r="R734" s="1"/>
      <c r="U734" s="125"/>
      <c r="V734" s="111"/>
      <c r="W734" s="112"/>
      <c r="X734" s="113"/>
      <c r="Z734" s="1"/>
      <c r="AA734" s="1"/>
    </row>
    <row r="735">
      <c r="D735" s="4"/>
      <c r="H735" s="1"/>
      <c r="I735" s="1"/>
      <c r="Q735" s="1"/>
      <c r="R735" s="1"/>
      <c r="U735" s="125"/>
      <c r="V735" s="111"/>
      <c r="W735" s="112"/>
      <c r="X735" s="113"/>
      <c r="Z735" s="1"/>
      <c r="AA735" s="1"/>
    </row>
    <row r="736">
      <c r="D736" s="4"/>
      <c r="H736" s="1"/>
      <c r="I736" s="1"/>
      <c r="Q736" s="1"/>
      <c r="R736" s="1"/>
      <c r="U736" s="125"/>
      <c r="V736" s="111"/>
      <c r="W736" s="112"/>
      <c r="X736" s="113"/>
      <c r="Z736" s="1"/>
      <c r="AA736" s="1"/>
    </row>
    <row r="737">
      <c r="D737" s="4"/>
      <c r="H737" s="1"/>
      <c r="I737" s="1"/>
      <c r="Q737" s="1"/>
      <c r="R737" s="1"/>
      <c r="U737" s="125"/>
      <c r="V737" s="111"/>
      <c r="W737" s="112"/>
      <c r="X737" s="113"/>
      <c r="Z737" s="1"/>
      <c r="AA737" s="1"/>
    </row>
    <row r="738">
      <c r="D738" s="4"/>
      <c r="H738" s="1"/>
      <c r="I738" s="1"/>
      <c r="Q738" s="1"/>
      <c r="R738" s="1"/>
      <c r="U738" s="125"/>
      <c r="V738" s="111"/>
      <c r="W738" s="112"/>
      <c r="X738" s="113"/>
      <c r="Z738" s="1"/>
      <c r="AA738" s="1"/>
    </row>
    <row r="739">
      <c r="D739" s="4"/>
      <c r="H739" s="1"/>
      <c r="I739" s="1"/>
      <c r="Q739" s="1"/>
      <c r="R739" s="1"/>
      <c r="U739" s="125"/>
      <c r="V739" s="111"/>
      <c r="W739" s="112"/>
      <c r="X739" s="113"/>
      <c r="Z739" s="1"/>
      <c r="AA739" s="1"/>
    </row>
    <row r="740">
      <c r="D740" s="4"/>
      <c r="H740" s="1"/>
      <c r="I740" s="1"/>
      <c r="Q740" s="1"/>
      <c r="R740" s="1"/>
      <c r="U740" s="125"/>
      <c r="V740" s="111"/>
      <c r="W740" s="112"/>
      <c r="X740" s="113"/>
      <c r="Z740" s="1"/>
      <c r="AA740" s="1"/>
    </row>
    <row r="741">
      <c r="D741" s="4"/>
      <c r="H741" s="1"/>
      <c r="I741" s="1"/>
      <c r="Q741" s="1"/>
      <c r="R741" s="1"/>
      <c r="U741" s="125"/>
      <c r="V741" s="111"/>
      <c r="W741" s="112"/>
      <c r="X741" s="113"/>
      <c r="Z741" s="1"/>
      <c r="AA741" s="1"/>
    </row>
    <row r="742">
      <c r="D742" s="4"/>
      <c r="H742" s="1"/>
      <c r="I742" s="1"/>
      <c r="Q742" s="1"/>
      <c r="R742" s="1"/>
      <c r="U742" s="125"/>
      <c r="V742" s="111"/>
      <c r="W742" s="112"/>
      <c r="X742" s="113"/>
      <c r="Z742" s="1"/>
      <c r="AA742" s="1"/>
    </row>
    <row r="743">
      <c r="D743" s="4"/>
      <c r="H743" s="1"/>
      <c r="I743" s="1"/>
      <c r="Q743" s="1"/>
      <c r="R743" s="1"/>
      <c r="U743" s="125"/>
      <c r="V743" s="111"/>
      <c r="W743" s="112"/>
      <c r="X743" s="113"/>
      <c r="Z743" s="1"/>
      <c r="AA743" s="1"/>
    </row>
    <row r="744">
      <c r="D744" s="4"/>
      <c r="H744" s="1"/>
      <c r="I744" s="1"/>
      <c r="Q744" s="1"/>
      <c r="R744" s="1"/>
      <c r="U744" s="125"/>
      <c r="V744" s="111"/>
      <c r="W744" s="112"/>
      <c r="X744" s="113"/>
      <c r="Z744" s="1"/>
      <c r="AA744" s="1"/>
    </row>
    <row r="745">
      <c r="D745" s="4"/>
      <c r="H745" s="1"/>
      <c r="I745" s="1"/>
      <c r="Q745" s="1"/>
      <c r="R745" s="1"/>
      <c r="U745" s="125"/>
      <c r="V745" s="111"/>
      <c r="W745" s="112"/>
      <c r="X745" s="113"/>
      <c r="Z745" s="1"/>
      <c r="AA745" s="1"/>
    </row>
    <row r="746">
      <c r="D746" s="4"/>
      <c r="H746" s="1"/>
      <c r="I746" s="1"/>
      <c r="Q746" s="1"/>
      <c r="R746" s="1"/>
      <c r="U746" s="125"/>
      <c r="V746" s="111"/>
      <c r="W746" s="112"/>
      <c r="X746" s="113"/>
      <c r="Z746" s="1"/>
      <c r="AA746" s="1"/>
    </row>
    <row r="747">
      <c r="D747" s="4"/>
      <c r="H747" s="1"/>
      <c r="I747" s="1"/>
      <c r="Q747" s="1"/>
      <c r="R747" s="1"/>
      <c r="U747" s="125"/>
      <c r="V747" s="111"/>
      <c r="W747" s="112"/>
      <c r="X747" s="113"/>
      <c r="Z747" s="1"/>
      <c r="AA747" s="1"/>
    </row>
    <row r="748">
      <c r="D748" s="4"/>
      <c r="H748" s="1"/>
      <c r="I748" s="1"/>
      <c r="Q748" s="1"/>
      <c r="R748" s="1"/>
      <c r="U748" s="125"/>
      <c r="V748" s="111"/>
      <c r="W748" s="112"/>
      <c r="X748" s="113"/>
      <c r="Z748" s="1"/>
      <c r="AA748" s="1"/>
    </row>
    <row r="749">
      <c r="D749" s="4"/>
      <c r="H749" s="1"/>
      <c r="I749" s="1"/>
      <c r="Q749" s="1"/>
      <c r="R749" s="1"/>
      <c r="U749" s="125"/>
      <c r="V749" s="111"/>
      <c r="W749" s="112"/>
      <c r="X749" s="113"/>
      <c r="Z749" s="1"/>
      <c r="AA749" s="1"/>
    </row>
    <row r="750">
      <c r="D750" s="4"/>
      <c r="H750" s="1"/>
      <c r="I750" s="1"/>
      <c r="Q750" s="1"/>
      <c r="R750" s="1"/>
      <c r="U750" s="125"/>
      <c r="V750" s="111"/>
      <c r="W750" s="112"/>
      <c r="X750" s="113"/>
      <c r="Z750" s="1"/>
      <c r="AA750" s="1"/>
    </row>
    <row r="751">
      <c r="D751" s="4"/>
      <c r="H751" s="1"/>
      <c r="I751" s="1"/>
      <c r="Q751" s="1"/>
      <c r="R751" s="1"/>
      <c r="U751" s="125"/>
      <c r="V751" s="111"/>
      <c r="W751" s="112"/>
      <c r="X751" s="113"/>
      <c r="Z751" s="1"/>
      <c r="AA751" s="1"/>
    </row>
    <row r="752">
      <c r="D752" s="4"/>
      <c r="H752" s="1"/>
      <c r="I752" s="1"/>
      <c r="Q752" s="1"/>
      <c r="R752" s="1"/>
      <c r="U752" s="125"/>
      <c r="V752" s="111"/>
      <c r="W752" s="112"/>
      <c r="X752" s="113"/>
      <c r="Z752" s="1"/>
      <c r="AA752" s="1"/>
    </row>
    <row r="753">
      <c r="D753" s="4"/>
      <c r="H753" s="1"/>
      <c r="I753" s="1"/>
      <c r="Q753" s="1"/>
      <c r="R753" s="1"/>
      <c r="U753" s="125"/>
      <c r="V753" s="111"/>
      <c r="W753" s="112"/>
      <c r="X753" s="113"/>
      <c r="Z753" s="1"/>
      <c r="AA753" s="1"/>
    </row>
    <row r="754">
      <c r="D754" s="4"/>
      <c r="H754" s="1"/>
      <c r="I754" s="1"/>
      <c r="Q754" s="1"/>
      <c r="R754" s="1"/>
      <c r="U754" s="125"/>
      <c r="V754" s="111"/>
      <c r="W754" s="112"/>
      <c r="X754" s="113"/>
      <c r="Z754" s="1"/>
      <c r="AA754" s="1"/>
    </row>
    <row r="755">
      <c r="D755" s="4"/>
      <c r="H755" s="1"/>
      <c r="I755" s="1"/>
      <c r="Q755" s="1"/>
      <c r="R755" s="1"/>
      <c r="U755" s="125"/>
      <c r="V755" s="111"/>
      <c r="W755" s="112"/>
      <c r="X755" s="113"/>
      <c r="Z755" s="1"/>
      <c r="AA755" s="1"/>
    </row>
    <row r="756">
      <c r="D756" s="4"/>
      <c r="H756" s="1"/>
      <c r="I756" s="1"/>
      <c r="Q756" s="1"/>
      <c r="R756" s="1"/>
      <c r="U756" s="125"/>
      <c r="V756" s="111"/>
      <c r="W756" s="112"/>
      <c r="X756" s="113"/>
      <c r="Z756" s="1"/>
      <c r="AA756" s="1"/>
    </row>
    <row r="757">
      <c r="D757" s="4"/>
      <c r="H757" s="1"/>
      <c r="I757" s="1"/>
      <c r="Q757" s="1"/>
      <c r="R757" s="1"/>
      <c r="U757" s="125"/>
      <c r="V757" s="111"/>
      <c r="W757" s="112"/>
      <c r="X757" s="113"/>
      <c r="Z757" s="1"/>
      <c r="AA757" s="1"/>
    </row>
    <row r="758">
      <c r="D758" s="4"/>
      <c r="H758" s="1"/>
      <c r="I758" s="1"/>
      <c r="Q758" s="1"/>
      <c r="R758" s="1"/>
      <c r="U758" s="125"/>
      <c r="V758" s="111"/>
      <c r="W758" s="112"/>
      <c r="X758" s="113"/>
      <c r="Z758" s="1"/>
      <c r="AA758" s="1"/>
    </row>
    <row r="759">
      <c r="D759" s="4"/>
      <c r="H759" s="1"/>
      <c r="I759" s="1"/>
      <c r="Q759" s="1"/>
      <c r="R759" s="1"/>
      <c r="U759" s="125"/>
      <c r="V759" s="111"/>
      <c r="W759" s="112"/>
      <c r="X759" s="113"/>
      <c r="Z759" s="1"/>
      <c r="AA759" s="1"/>
    </row>
    <row r="760">
      <c r="D760" s="4"/>
      <c r="H760" s="1"/>
      <c r="I760" s="1"/>
      <c r="Q760" s="1"/>
      <c r="R760" s="1"/>
      <c r="U760" s="125"/>
      <c r="V760" s="111"/>
      <c r="W760" s="112"/>
      <c r="X760" s="113"/>
      <c r="Z760" s="1"/>
      <c r="AA760" s="1"/>
    </row>
    <row r="761">
      <c r="D761" s="4"/>
      <c r="H761" s="1"/>
      <c r="I761" s="1"/>
      <c r="Q761" s="1"/>
      <c r="R761" s="1"/>
      <c r="U761" s="125"/>
      <c r="V761" s="111"/>
      <c r="W761" s="112"/>
      <c r="X761" s="113"/>
      <c r="Z761" s="1"/>
      <c r="AA761" s="1"/>
    </row>
    <row r="762">
      <c r="D762" s="4"/>
      <c r="H762" s="1"/>
      <c r="I762" s="1"/>
      <c r="Q762" s="1"/>
      <c r="R762" s="1"/>
      <c r="U762" s="125"/>
      <c r="V762" s="111"/>
      <c r="W762" s="112"/>
      <c r="X762" s="113"/>
      <c r="Z762" s="1"/>
      <c r="AA762" s="1"/>
    </row>
    <row r="763">
      <c r="D763" s="4"/>
      <c r="H763" s="1"/>
      <c r="I763" s="1"/>
      <c r="Q763" s="1"/>
      <c r="R763" s="1"/>
      <c r="U763" s="125"/>
      <c r="V763" s="111"/>
      <c r="W763" s="112"/>
      <c r="X763" s="113"/>
      <c r="Z763" s="1"/>
      <c r="AA763" s="1"/>
    </row>
    <row r="764">
      <c r="D764" s="4"/>
      <c r="H764" s="1"/>
      <c r="I764" s="1"/>
      <c r="Q764" s="1"/>
      <c r="R764" s="1"/>
      <c r="U764" s="125"/>
      <c r="V764" s="111"/>
      <c r="W764" s="112"/>
      <c r="X764" s="113"/>
      <c r="Z764" s="1"/>
      <c r="AA764" s="1"/>
    </row>
    <row r="765">
      <c r="D765" s="4"/>
      <c r="H765" s="1"/>
      <c r="I765" s="1"/>
      <c r="Q765" s="1"/>
      <c r="R765" s="1"/>
      <c r="U765" s="125"/>
      <c r="V765" s="111"/>
      <c r="W765" s="112"/>
      <c r="X765" s="113"/>
      <c r="Z765" s="1"/>
      <c r="AA765" s="1"/>
    </row>
    <row r="766">
      <c r="D766" s="4"/>
      <c r="H766" s="1"/>
      <c r="I766" s="1"/>
      <c r="Q766" s="1"/>
      <c r="R766" s="1"/>
      <c r="U766" s="125"/>
      <c r="V766" s="111"/>
      <c r="W766" s="112"/>
      <c r="X766" s="113"/>
      <c r="Z766" s="1"/>
      <c r="AA766" s="1"/>
    </row>
    <row r="767">
      <c r="D767" s="4"/>
      <c r="H767" s="1"/>
      <c r="I767" s="1"/>
      <c r="Q767" s="1"/>
      <c r="R767" s="1"/>
      <c r="U767" s="125"/>
      <c r="V767" s="111"/>
      <c r="W767" s="112"/>
      <c r="X767" s="113"/>
      <c r="Z767" s="1"/>
      <c r="AA767" s="1"/>
    </row>
    <row r="768">
      <c r="D768" s="4"/>
      <c r="H768" s="1"/>
      <c r="I768" s="1"/>
      <c r="Q768" s="1"/>
      <c r="R768" s="1"/>
      <c r="U768" s="125"/>
      <c r="V768" s="111"/>
      <c r="W768" s="112"/>
      <c r="X768" s="113"/>
      <c r="Z768" s="1"/>
      <c r="AA768" s="1"/>
    </row>
    <row r="769">
      <c r="D769" s="4"/>
      <c r="H769" s="1"/>
      <c r="I769" s="1"/>
      <c r="Q769" s="1"/>
      <c r="R769" s="1"/>
      <c r="U769" s="125"/>
      <c r="V769" s="111"/>
      <c r="W769" s="112"/>
      <c r="X769" s="113"/>
      <c r="Z769" s="1"/>
      <c r="AA769" s="1"/>
    </row>
    <row r="770">
      <c r="D770" s="4"/>
      <c r="H770" s="1"/>
      <c r="I770" s="1"/>
      <c r="Q770" s="1"/>
      <c r="R770" s="1"/>
      <c r="U770" s="125"/>
      <c r="V770" s="111"/>
      <c r="W770" s="112"/>
      <c r="X770" s="113"/>
      <c r="Z770" s="1"/>
      <c r="AA770" s="1"/>
    </row>
    <row r="771">
      <c r="D771" s="4"/>
      <c r="H771" s="1"/>
      <c r="I771" s="1"/>
      <c r="Q771" s="1"/>
      <c r="R771" s="1"/>
      <c r="U771" s="125"/>
      <c r="V771" s="111"/>
      <c r="W771" s="112"/>
      <c r="X771" s="113"/>
      <c r="Z771" s="1"/>
      <c r="AA771" s="1"/>
    </row>
    <row r="772">
      <c r="D772" s="4"/>
      <c r="H772" s="1"/>
      <c r="I772" s="1"/>
      <c r="Q772" s="1"/>
      <c r="R772" s="1"/>
      <c r="U772" s="125"/>
      <c r="V772" s="111"/>
      <c r="W772" s="112"/>
      <c r="X772" s="113"/>
      <c r="Z772" s="1"/>
      <c r="AA772" s="1"/>
    </row>
    <row r="773">
      <c r="D773" s="4"/>
      <c r="H773" s="1"/>
      <c r="I773" s="1"/>
      <c r="Q773" s="1"/>
      <c r="R773" s="1"/>
      <c r="U773" s="125"/>
      <c r="V773" s="111"/>
      <c r="W773" s="112"/>
      <c r="X773" s="113"/>
      <c r="Z773" s="1"/>
      <c r="AA773" s="1"/>
    </row>
    <row r="774">
      <c r="D774" s="4"/>
      <c r="H774" s="1"/>
      <c r="I774" s="1"/>
      <c r="Q774" s="1"/>
      <c r="R774" s="1"/>
      <c r="U774" s="125"/>
      <c r="V774" s="111"/>
      <c r="W774" s="112"/>
      <c r="X774" s="113"/>
      <c r="Z774" s="1"/>
      <c r="AA774" s="1"/>
    </row>
    <row r="775">
      <c r="D775" s="4"/>
      <c r="H775" s="1"/>
      <c r="I775" s="1"/>
      <c r="Q775" s="1"/>
      <c r="R775" s="1"/>
      <c r="U775" s="125"/>
      <c r="V775" s="111"/>
      <c r="W775" s="112"/>
      <c r="X775" s="113"/>
      <c r="Z775" s="1"/>
      <c r="AA775" s="1"/>
    </row>
    <row r="776">
      <c r="D776" s="4"/>
      <c r="H776" s="1"/>
      <c r="I776" s="1"/>
      <c r="Q776" s="1"/>
      <c r="R776" s="1"/>
      <c r="U776" s="125"/>
      <c r="V776" s="111"/>
      <c r="W776" s="112"/>
      <c r="X776" s="113"/>
      <c r="Z776" s="1"/>
      <c r="AA776" s="1"/>
    </row>
    <row r="777">
      <c r="D777" s="4"/>
      <c r="H777" s="1"/>
      <c r="I777" s="1"/>
      <c r="Q777" s="1"/>
      <c r="R777" s="1"/>
      <c r="U777" s="125"/>
      <c r="V777" s="111"/>
      <c r="W777" s="112"/>
      <c r="X777" s="113"/>
      <c r="Z777" s="1"/>
      <c r="AA777" s="1"/>
    </row>
    <row r="778">
      <c r="D778" s="4"/>
      <c r="H778" s="1"/>
      <c r="I778" s="1"/>
      <c r="Q778" s="1"/>
      <c r="R778" s="1"/>
      <c r="U778" s="125"/>
      <c r="V778" s="111"/>
      <c r="W778" s="112"/>
      <c r="X778" s="113"/>
      <c r="Z778" s="1"/>
      <c r="AA778" s="1"/>
    </row>
    <row r="779">
      <c r="D779" s="4"/>
      <c r="H779" s="1"/>
      <c r="I779" s="1"/>
      <c r="Q779" s="1"/>
      <c r="R779" s="1"/>
      <c r="U779" s="125"/>
      <c r="V779" s="111"/>
      <c r="W779" s="112"/>
      <c r="X779" s="113"/>
      <c r="Z779" s="1"/>
      <c r="AA779" s="1"/>
    </row>
    <row r="780">
      <c r="D780" s="4"/>
      <c r="H780" s="1"/>
      <c r="I780" s="1"/>
      <c r="Q780" s="1"/>
      <c r="R780" s="1"/>
      <c r="U780" s="125"/>
      <c r="V780" s="111"/>
      <c r="W780" s="112"/>
      <c r="X780" s="113"/>
      <c r="Z780" s="1"/>
      <c r="AA780" s="1"/>
    </row>
    <row r="781">
      <c r="D781" s="4"/>
      <c r="H781" s="1"/>
      <c r="I781" s="1"/>
      <c r="Q781" s="1"/>
      <c r="R781" s="1"/>
      <c r="U781" s="125"/>
      <c r="V781" s="111"/>
      <c r="W781" s="112"/>
      <c r="X781" s="113"/>
      <c r="Z781" s="1"/>
      <c r="AA781" s="1"/>
    </row>
    <row r="782">
      <c r="D782" s="4"/>
      <c r="H782" s="1"/>
      <c r="I782" s="1"/>
      <c r="Q782" s="1"/>
      <c r="R782" s="1"/>
      <c r="U782" s="125"/>
      <c r="V782" s="111"/>
      <c r="W782" s="112"/>
      <c r="X782" s="113"/>
      <c r="Z782" s="1"/>
      <c r="AA782" s="1"/>
    </row>
    <row r="783">
      <c r="D783" s="4"/>
      <c r="H783" s="1"/>
      <c r="I783" s="1"/>
      <c r="Q783" s="1"/>
      <c r="R783" s="1"/>
      <c r="U783" s="125"/>
      <c r="V783" s="111"/>
      <c r="W783" s="112"/>
      <c r="X783" s="113"/>
      <c r="Z783" s="1"/>
      <c r="AA783" s="1"/>
    </row>
    <row r="784">
      <c r="D784" s="4"/>
      <c r="H784" s="1"/>
      <c r="I784" s="1"/>
      <c r="Q784" s="1"/>
      <c r="R784" s="1"/>
      <c r="U784" s="125"/>
      <c r="V784" s="111"/>
      <c r="W784" s="112"/>
      <c r="X784" s="113"/>
      <c r="Z784" s="1"/>
      <c r="AA784" s="1"/>
    </row>
    <row r="785">
      <c r="D785" s="4"/>
      <c r="H785" s="1"/>
      <c r="I785" s="1"/>
      <c r="Q785" s="1"/>
      <c r="R785" s="1"/>
      <c r="U785" s="125"/>
      <c r="V785" s="111"/>
      <c r="W785" s="112"/>
      <c r="X785" s="113"/>
      <c r="Z785" s="1"/>
      <c r="AA785" s="1"/>
    </row>
    <row r="786">
      <c r="D786" s="4"/>
      <c r="H786" s="1"/>
      <c r="I786" s="1"/>
      <c r="Q786" s="1"/>
      <c r="R786" s="1"/>
      <c r="U786" s="125"/>
      <c r="V786" s="111"/>
      <c r="W786" s="112"/>
      <c r="X786" s="113"/>
      <c r="Z786" s="1"/>
      <c r="AA786" s="1"/>
    </row>
    <row r="787">
      <c r="D787" s="4"/>
      <c r="H787" s="1"/>
      <c r="I787" s="1"/>
      <c r="Q787" s="1"/>
      <c r="R787" s="1"/>
      <c r="U787" s="125"/>
      <c r="V787" s="111"/>
      <c r="W787" s="112"/>
      <c r="X787" s="113"/>
      <c r="Z787" s="1"/>
      <c r="AA787" s="1"/>
    </row>
    <row r="788">
      <c r="D788" s="4"/>
      <c r="H788" s="1"/>
      <c r="I788" s="1"/>
      <c r="Q788" s="1"/>
      <c r="R788" s="1"/>
      <c r="U788" s="125"/>
      <c r="V788" s="111"/>
      <c r="W788" s="112"/>
      <c r="X788" s="113"/>
      <c r="Z788" s="1"/>
      <c r="AA788" s="1"/>
    </row>
    <row r="789">
      <c r="D789" s="4"/>
      <c r="H789" s="1"/>
      <c r="I789" s="1"/>
      <c r="Q789" s="1"/>
      <c r="R789" s="1"/>
      <c r="U789" s="125"/>
      <c r="V789" s="111"/>
      <c r="W789" s="112"/>
      <c r="X789" s="113"/>
      <c r="Z789" s="1"/>
      <c r="AA789" s="1"/>
    </row>
    <row r="790">
      <c r="D790" s="4"/>
      <c r="H790" s="1"/>
      <c r="I790" s="1"/>
      <c r="Q790" s="1"/>
      <c r="R790" s="1"/>
      <c r="U790" s="125"/>
      <c r="V790" s="111"/>
      <c r="W790" s="112"/>
      <c r="X790" s="113"/>
      <c r="Z790" s="1"/>
      <c r="AA790" s="1"/>
    </row>
    <row r="791">
      <c r="D791" s="4"/>
      <c r="H791" s="1"/>
      <c r="I791" s="1"/>
      <c r="Q791" s="1"/>
      <c r="R791" s="1"/>
      <c r="U791" s="125"/>
      <c r="V791" s="111"/>
      <c r="W791" s="112"/>
      <c r="X791" s="113"/>
      <c r="Z791" s="1"/>
      <c r="AA791" s="1"/>
    </row>
    <row r="792">
      <c r="D792" s="4"/>
      <c r="H792" s="1"/>
      <c r="I792" s="1"/>
      <c r="Q792" s="1"/>
      <c r="R792" s="1"/>
      <c r="U792" s="125"/>
      <c r="V792" s="111"/>
      <c r="W792" s="112"/>
      <c r="X792" s="113"/>
      <c r="Z792" s="1"/>
      <c r="AA792" s="1"/>
    </row>
    <row r="793">
      <c r="D793" s="4"/>
      <c r="H793" s="1"/>
      <c r="I793" s="1"/>
      <c r="Q793" s="1"/>
      <c r="R793" s="1"/>
      <c r="U793" s="125"/>
      <c r="V793" s="111"/>
      <c r="W793" s="112"/>
      <c r="X793" s="113"/>
      <c r="Z793" s="1"/>
      <c r="AA793" s="1"/>
    </row>
    <row r="794">
      <c r="D794" s="4"/>
      <c r="H794" s="1"/>
      <c r="I794" s="1"/>
      <c r="Q794" s="1"/>
      <c r="R794" s="1"/>
      <c r="U794" s="125"/>
      <c r="V794" s="111"/>
      <c r="W794" s="112"/>
      <c r="X794" s="113"/>
      <c r="Z794" s="1"/>
      <c r="AA794" s="1"/>
    </row>
    <row r="795">
      <c r="D795" s="4"/>
      <c r="H795" s="1"/>
      <c r="I795" s="1"/>
      <c r="Q795" s="1"/>
      <c r="R795" s="1"/>
      <c r="U795" s="125"/>
      <c r="V795" s="111"/>
      <c r="W795" s="112"/>
      <c r="X795" s="113"/>
      <c r="Z795" s="1"/>
      <c r="AA795" s="1"/>
    </row>
    <row r="796">
      <c r="D796" s="4"/>
      <c r="H796" s="1"/>
      <c r="I796" s="1"/>
      <c r="Q796" s="1"/>
      <c r="R796" s="1"/>
      <c r="U796" s="125"/>
      <c r="V796" s="111"/>
      <c r="W796" s="112"/>
      <c r="X796" s="113"/>
      <c r="Z796" s="1"/>
      <c r="AA796" s="1"/>
    </row>
    <row r="797">
      <c r="D797" s="4"/>
      <c r="H797" s="1"/>
      <c r="I797" s="1"/>
      <c r="Q797" s="1"/>
      <c r="R797" s="1"/>
      <c r="U797" s="125"/>
      <c r="V797" s="111"/>
      <c r="W797" s="112"/>
      <c r="X797" s="113"/>
      <c r="Z797" s="1"/>
      <c r="AA797" s="1"/>
    </row>
    <row r="798">
      <c r="D798" s="4"/>
      <c r="H798" s="1"/>
      <c r="I798" s="1"/>
      <c r="Q798" s="1"/>
      <c r="R798" s="1"/>
      <c r="U798" s="125"/>
      <c r="V798" s="111"/>
      <c r="W798" s="112"/>
      <c r="X798" s="113"/>
      <c r="Z798" s="1"/>
      <c r="AA798" s="1"/>
    </row>
    <row r="799">
      <c r="D799" s="4"/>
      <c r="H799" s="1"/>
      <c r="I799" s="1"/>
      <c r="Q799" s="1"/>
      <c r="R799" s="1"/>
      <c r="U799" s="125"/>
      <c r="V799" s="111"/>
      <c r="W799" s="112"/>
      <c r="X799" s="113"/>
      <c r="Z799" s="1"/>
      <c r="AA799" s="1"/>
    </row>
    <row r="800">
      <c r="D800" s="4"/>
      <c r="H800" s="1"/>
      <c r="I800" s="1"/>
      <c r="Q800" s="1"/>
      <c r="R800" s="1"/>
      <c r="U800" s="125"/>
      <c r="V800" s="111"/>
      <c r="W800" s="112"/>
      <c r="X800" s="113"/>
      <c r="Z800" s="1"/>
      <c r="AA800" s="1"/>
    </row>
    <row r="801">
      <c r="D801" s="4"/>
      <c r="H801" s="1"/>
      <c r="I801" s="1"/>
      <c r="Q801" s="1"/>
      <c r="R801" s="1"/>
      <c r="U801" s="125"/>
      <c r="V801" s="111"/>
      <c r="W801" s="112"/>
      <c r="X801" s="113"/>
      <c r="Z801" s="1"/>
      <c r="AA801" s="1"/>
    </row>
    <row r="802">
      <c r="D802" s="4"/>
      <c r="H802" s="1"/>
      <c r="I802" s="1"/>
      <c r="Q802" s="1"/>
      <c r="R802" s="1"/>
      <c r="U802" s="125"/>
      <c r="V802" s="111"/>
      <c r="W802" s="112"/>
      <c r="X802" s="113"/>
      <c r="Z802" s="1"/>
      <c r="AA802" s="1"/>
    </row>
    <row r="803">
      <c r="D803" s="4"/>
      <c r="H803" s="1"/>
      <c r="I803" s="1"/>
      <c r="Q803" s="1"/>
      <c r="R803" s="1"/>
      <c r="U803" s="125"/>
      <c r="V803" s="111"/>
      <c r="W803" s="112"/>
      <c r="X803" s="113"/>
      <c r="Z803" s="1"/>
      <c r="AA803" s="1"/>
    </row>
    <row r="804">
      <c r="D804" s="4"/>
      <c r="H804" s="1"/>
      <c r="I804" s="1"/>
      <c r="Q804" s="1"/>
      <c r="R804" s="1"/>
      <c r="U804" s="125"/>
      <c r="V804" s="111"/>
      <c r="W804" s="112"/>
      <c r="X804" s="113"/>
      <c r="Z804" s="1"/>
      <c r="AA804" s="1"/>
    </row>
    <row r="805">
      <c r="D805" s="4"/>
      <c r="H805" s="1"/>
      <c r="I805" s="1"/>
      <c r="Q805" s="1"/>
      <c r="R805" s="1"/>
      <c r="U805" s="125"/>
      <c r="V805" s="111"/>
      <c r="W805" s="112"/>
      <c r="X805" s="113"/>
      <c r="Z805" s="1"/>
      <c r="AA805" s="1"/>
    </row>
    <row r="806">
      <c r="D806" s="4"/>
      <c r="H806" s="1"/>
      <c r="I806" s="1"/>
      <c r="Q806" s="1"/>
      <c r="R806" s="1"/>
      <c r="U806" s="125"/>
      <c r="V806" s="111"/>
      <c r="W806" s="112"/>
      <c r="X806" s="113"/>
      <c r="Z806" s="1"/>
      <c r="AA806" s="1"/>
    </row>
    <row r="807">
      <c r="D807" s="4"/>
      <c r="H807" s="1"/>
      <c r="I807" s="1"/>
      <c r="Q807" s="1"/>
      <c r="R807" s="1"/>
      <c r="U807" s="125"/>
      <c r="V807" s="111"/>
      <c r="W807" s="112"/>
      <c r="X807" s="113"/>
      <c r="Z807" s="1"/>
      <c r="AA807" s="1"/>
    </row>
    <row r="808">
      <c r="D808" s="4"/>
      <c r="H808" s="1"/>
      <c r="I808" s="1"/>
      <c r="Q808" s="1"/>
      <c r="R808" s="1"/>
      <c r="U808" s="125"/>
      <c r="V808" s="111"/>
      <c r="W808" s="112"/>
      <c r="X808" s="113"/>
      <c r="Z808" s="1"/>
      <c r="AA808" s="1"/>
    </row>
    <row r="809">
      <c r="D809" s="4"/>
      <c r="H809" s="1"/>
      <c r="I809" s="1"/>
      <c r="Q809" s="1"/>
      <c r="R809" s="1"/>
      <c r="U809" s="125"/>
      <c r="V809" s="111"/>
      <c r="W809" s="112"/>
      <c r="X809" s="113"/>
      <c r="Z809" s="1"/>
      <c r="AA809" s="1"/>
    </row>
    <row r="810">
      <c r="D810" s="4"/>
      <c r="H810" s="1"/>
      <c r="I810" s="1"/>
      <c r="Q810" s="1"/>
      <c r="R810" s="1"/>
      <c r="U810" s="125"/>
      <c r="V810" s="111"/>
      <c r="W810" s="112"/>
      <c r="X810" s="113"/>
      <c r="Z810" s="1"/>
      <c r="AA810" s="1"/>
    </row>
    <row r="811">
      <c r="D811" s="4"/>
      <c r="H811" s="1"/>
      <c r="I811" s="1"/>
      <c r="Q811" s="1"/>
      <c r="R811" s="1"/>
      <c r="U811" s="125"/>
      <c r="V811" s="111"/>
      <c r="W811" s="112"/>
      <c r="X811" s="113"/>
      <c r="Z811" s="1"/>
      <c r="AA811" s="1"/>
    </row>
    <row r="812">
      <c r="D812" s="4"/>
      <c r="H812" s="1"/>
      <c r="I812" s="1"/>
      <c r="Q812" s="1"/>
      <c r="R812" s="1"/>
      <c r="U812" s="125"/>
      <c r="V812" s="111"/>
      <c r="W812" s="112"/>
      <c r="X812" s="113"/>
      <c r="Z812" s="1"/>
      <c r="AA812" s="1"/>
    </row>
    <row r="813">
      <c r="D813" s="4"/>
      <c r="H813" s="1"/>
      <c r="I813" s="1"/>
      <c r="Q813" s="1"/>
      <c r="R813" s="1"/>
      <c r="U813" s="125"/>
      <c r="V813" s="111"/>
      <c r="W813" s="112"/>
      <c r="X813" s="113"/>
      <c r="Z813" s="1"/>
      <c r="AA813" s="1"/>
    </row>
    <row r="814">
      <c r="D814" s="4"/>
      <c r="H814" s="1"/>
      <c r="I814" s="1"/>
      <c r="Q814" s="1"/>
      <c r="R814" s="1"/>
      <c r="U814" s="125"/>
      <c r="V814" s="111"/>
      <c r="W814" s="112"/>
      <c r="X814" s="113"/>
      <c r="Z814" s="1"/>
      <c r="AA814" s="1"/>
    </row>
    <row r="815">
      <c r="D815" s="4"/>
      <c r="H815" s="1"/>
      <c r="I815" s="1"/>
      <c r="Q815" s="1"/>
      <c r="R815" s="1"/>
      <c r="U815" s="125"/>
      <c r="V815" s="111"/>
      <c r="W815" s="112"/>
      <c r="X815" s="113"/>
      <c r="Z815" s="1"/>
      <c r="AA815" s="1"/>
    </row>
    <row r="816">
      <c r="D816" s="4"/>
      <c r="H816" s="1"/>
      <c r="I816" s="1"/>
      <c r="Q816" s="1"/>
      <c r="R816" s="1"/>
      <c r="U816" s="125"/>
      <c r="V816" s="111"/>
      <c r="W816" s="112"/>
      <c r="X816" s="113"/>
      <c r="Z816" s="1"/>
      <c r="AA816" s="1"/>
    </row>
    <row r="817">
      <c r="D817" s="4"/>
      <c r="H817" s="1"/>
      <c r="I817" s="1"/>
      <c r="Q817" s="1"/>
      <c r="R817" s="1"/>
      <c r="U817" s="125"/>
      <c r="V817" s="111"/>
      <c r="W817" s="112"/>
      <c r="X817" s="113"/>
      <c r="Z817" s="1"/>
      <c r="AA817" s="1"/>
    </row>
    <row r="818">
      <c r="D818" s="4"/>
      <c r="H818" s="1"/>
      <c r="I818" s="1"/>
      <c r="Q818" s="1"/>
      <c r="R818" s="1"/>
      <c r="U818" s="125"/>
      <c r="V818" s="111"/>
      <c r="W818" s="112"/>
      <c r="X818" s="113"/>
      <c r="Z818" s="1"/>
      <c r="AA818" s="1"/>
    </row>
    <row r="819">
      <c r="D819" s="4"/>
      <c r="H819" s="1"/>
      <c r="I819" s="1"/>
      <c r="Q819" s="1"/>
      <c r="R819" s="1"/>
      <c r="U819" s="125"/>
      <c r="V819" s="111"/>
      <c r="W819" s="112"/>
      <c r="X819" s="113"/>
      <c r="Z819" s="1"/>
      <c r="AA819" s="1"/>
    </row>
    <row r="820">
      <c r="D820" s="4"/>
      <c r="H820" s="1"/>
      <c r="I820" s="1"/>
      <c r="Q820" s="1"/>
      <c r="R820" s="1"/>
      <c r="U820" s="125"/>
      <c r="V820" s="111"/>
      <c r="W820" s="112"/>
      <c r="X820" s="113"/>
      <c r="Z820" s="1"/>
      <c r="AA820" s="1"/>
    </row>
    <row r="821">
      <c r="D821" s="4"/>
      <c r="H821" s="1"/>
      <c r="I821" s="1"/>
      <c r="Q821" s="1"/>
      <c r="R821" s="1"/>
      <c r="U821" s="125"/>
      <c r="V821" s="111"/>
      <c r="W821" s="112"/>
      <c r="X821" s="113"/>
      <c r="Z821" s="1"/>
      <c r="AA821" s="1"/>
    </row>
    <row r="822">
      <c r="D822" s="4"/>
      <c r="H822" s="1"/>
      <c r="I822" s="1"/>
      <c r="Q822" s="1"/>
      <c r="R822" s="1"/>
      <c r="U822" s="125"/>
      <c r="V822" s="111"/>
      <c r="W822" s="112"/>
      <c r="X822" s="113"/>
      <c r="Z822" s="1"/>
      <c r="AA822" s="1"/>
    </row>
    <row r="823">
      <c r="D823" s="4"/>
      <c r="H823" s="1"/>
      <c r="I823" s="1"/>
      <c r="Q823" s="1"/>
      <c r="R823" s="1"/>
      <c r="U823" s="125"/>
      <c r="V823" s="111"/>
      <c r="W823" s="112"/>
      <c r="X823" s="113"/>
      <c r="Z823" s="1"/>
      <c r="AA823" s="1"/>
    </row>
    <row r="824">
      <c r="D824" s="4"/>
      <c r="H824" s="1"/>
      <c r="I824" s="1"/>
      <c r="Q824" s="1"/>
      <c r="R824" s="1"/>
      <c r="U824" s="125"/>
      <c r="V824" s="111"/>
      <c r="W824" s="112"/>
      <c r="X824" s="113"/>
      <c r="Z824" s="1"/>
      <c r="AA824" s="1"/>
    </row>
    <row r="825">
      <c r="D825" s="4"/>
      <c r="H825" s="1"/>
      <c r="I825" s="1"/>
      <c r="Q825" s="1"/>
      <c r="R825" s="1"/>
      <c r="U825" s="125"/>
      <c r="V825" s="111"/>
      <c r="W825" s="112"/>
      <c r="X825" s="113"/>
      <c r="Z825" s="1"/>
      <c r="AA825" s="1"/>
    </row>
    <row r="826">
      <c r="D826" s="4"/>
      <c r="H826" s="1"/>
      <c r="I826" s="1"/>
      <c r="Q826" s="1"/>
      <c r="R826" s="1"/>
      <c r="U826" s="125"/>
      <c r="V826" s="111"/>
      <c r="W826" s="112"/>
      <c r="X826" s="113"/>
      <c r="Z826" s="1"/>
      <c r="AA826" s="1"/>
    </row>
    <row r="827">
      <c r="D827" s="4"/>
      <c r="H827" s="1"/>
      <c r="I827" s="1"/>
      <c r="Q827" s="1"/>
      <c r="R827" s="1"/>
      <c r="U827" s="125"/>
      <c r="V827" s="111"/>
      <c r="W827" s="112"/>
      <c r="X827" s="113"/>
      <c r="Z827" s="1"/>
      <c r="AA827" s="1"/>
    </row>
    <row r="828">
      <c r="D828" s="4"/>
      <c r="H828" s="1"/>
      <c r="I828" s="1"/>
      <c r="Q828" s="1"/>
      <c r="R828" s="1"/>
      <c r="U828" s="125"/>
      <c r="V828" s="111"/>
      <c r="W828" s="112"/>
      <c r="X828" s="113"/>
      <c r="Z828" s="1"/>
      <c r="AA828" s="1"/>
    </row>
    <row r="829">
      <c r="D829" s="4"/>
      <c r="H829" s="1"/>
      <c r="I829" s="1"/>
      <c r="Q829" s="1"/>
      <c r="R829" s="1"/>
      <c r="U829" s="125"/>
      <c r="V829" s="111"/>
      <c r="W829" s="112"/>
      <c r="X829" s="113"/>
      <c r="Z829" s="1"/>
      <c r="AA829" s="1"/>
    </row>
    <row r="830">
      <c r="D830" s="4"/>
      <c r="H830" s="1"/>
      <c r="I830" s="1"/>
      <c r="Q830" s="1"/>
      <c r="R830" s="1"/>
      <c r="U830" s="125"/>
      <c r="V830" s="111"/>
      <c r="W830" s="112"/>
      <c r="X830" s="113"/>
      <c r="Z830" s="1"/>
      <c r="AA830" s="1"/>
    </row>
    <row r="831">
      <c r="D831" s="4"/>
      <c r="H831" s="1"/>
      <c r="I831" s="1"/>
      <c r="Q831" s="1"/>
      <c r="R831" s="1"/>
      <c r="U831" s="125"/>
      <c r="V831" s="111"/>
      <c r="W831" s="112"/>
      <c r="X831" s="113"/>
      <c r="Z831" s="1"/>
      <c r="AA831" s="1"/>
    </row>
    <row r="832">
      <c r="D832" s="4"/>
      <c r="H832" s="1"/>
      <c r="I832" s="1"/>
      <c r="Q832" s="1"/>
      <c r="R832" s="1"/>
      <c r="U832" s="125"/>
      <c r="V832" s="111"/>
      <c r="W832" s="112"/>
      <c r="X832" s="113"/>
      <c r="Z832" s="1"/>
      <c r="AA832" s="1"/>
    </row>
    <row r="833">
      <c r="D833" s="4"/>
      <c r="H833" s="1"/>
      <c r="I833" s="1"/>
      <c r="Q833" s="1"/>
      <c r="R833" s="1"/>
      <c r="U833" s="125"/>
      <c r="V833" s="111"/>
      <c r="W833" s="112"/>
      <c r="X833" s="113"/>
      <c r="Z833" s="1"/>
      <c r="AA833" s="1"/>
    </row>
    <row r="834">
      <c r="D834" s="4"/>
      <c r="H834" s="1"/>
      <c r="I834" s="1"/>
      <c r="Q834" s="1"/>
      <c r="R834" s="1"/>
      <c r="U834" s="125"/>
      <c r="V834" s="111"/>
      <c r="W834" s="112"/>
      <c r="X834" s="113"/>
      <c r="Z834" s="1"/>
      <c r="AA834" s="1"/>
    </row>
    <row r="835">
      <c r="D835" s="4"/>
      <c r="H835" s="1"/>
      <c r="I835" s="1"/>
      <c r="Q835" s="1"/>
      <c r="R835" s="1"/>
      <c r="U835" s="125"/>
      <c r="V835" s="111"/>
      <c r="W835" s="112"/>
      <c r="X835" s="113"/>
      <c r="Z835" s="1"/>
      <c r="AA835" s="1"/>
    </row>
    <row r="836">
      <c r="D836" s="4"/>
      <c r="H836" s="1"/>
      <c r="I836" s="1"/>
      <c r="Q836" s="1"/>
      <c r="R836" s="1"/>
      <c r="U836" s="125"/>
      <c r="V836" s="111"/>
      <c r="W836" s="112"/>
      <c r="X836" s="113"/>
      <c r="Z836" s="1"/>
      <c r="AA836" s="1"/>
    </row>
    <row r="837">
      <c r="D837" s="4"/>
      <c r="H837" s="1"/>
      <c r="I837" s="1"/>
      <c r="Q837" s="1"/>
      <c r="R837" s="1"/>
      <c r="U837" s="125"/>
      <c r="V837" s="111"/>
      <c r="W837" s="112"/>
      <c r="X837" s="113"/>
      <c r="Z837" s="1"/>
      <c r="AA837" s="1"/>
    </row>
    <row r="838">
      <c r="D838" s="4"/>
      <c r="H838" s="1"/>
      <c r="I838" s="1"/>
      <c r="Q838" s="1"/>
      <c r="R838" s="1"/>
      <c r="U838" s="125"/>
      <c r="V838" s="111"/>
      <c r="W838" s="112"/>
      <c r="X838" s="113"/>
      <c r="Z838" s="1"/>
      <c r="AA838" s="1"/>
    </row>
    <row r="839">
      <c r="D839" s="4"/>
      <c r="H839" s="1"/>
      <c r="I839" s="1"/>
      <c r="Q839" s="1"/>
      <c r="R839" s="1"/>
      <c r="U839" s="125"/>
      <c r="V839" s="111"/>
      <c r="W839" s="112"/>
      <c r="X839" s="113"/>
      <c r="Z839" s="1"/>
      <c r="AA839" s="1"/>
    </row>
    <row r="840">
      <c r="D840" s="4"/>
      <c r="H840" s="1"/>
      <c r="I840" s="1"/>
      <c r="Q840" s="1"/>
      <c r="R840" s="1"/>
      <c r="U840" s="125"/>
      <c r="V840" s="111"/>
      <c r="W840" s="112"/>
      <c r="X840" s="113"/>
      <c r="Z840" s="1"/>
      <c r="AA840" s="1"/>
    </row>
    <row r="841">
      <c r="D841" s="4"/>
      <c r="H841" s="1"/>
      <c r="I841" s="1"/>
      <c r="Q841" s="1"/>
      <c r="R841" s="1"/>
      <c r="U841" s="125"/>
      <c r="V841" s="111"/>
      <c r="W841" s="112"/>
      <c r="X841" s="113"/>
      <c r="Z841" s="1"/>
      <c r="AA841" s="1"/>
    </row>
    <row r="842">
      <c r="D842" s="4"/>
      <c r="H842" s="1"/>
      <c r="I842" s="1"/>
      <c r="Q842" s="1"/>
      <c r="R842" s="1"/>
      <c r="U842" s="125"/>
      <c r="V842" s="111"/>
      <c r="W842" s="112"/>
      <c r="X842" s="113"/>
      <c r="Z842" s="1"/>
      <c r="AA842" s="1"/>
    </row>
    <row r="843">
      <c r="D843" s="4"/>
      <c r="H843" s="1"/>
      <c r="I843" s="1"/>
      <c r="Q843" s="1"/>
      <c r="R843" s="1"/>
      <c r="U843" s="125"/>
      <c r="V843" s="111"/>
      <c r="W843" s="112"/>
      <c r="X843" s="113"/>
      <c r="Z843" s="1"/>
      <c r="AA843" s="1"/>
    </row>
    <row r="844">
      <c r="D844" s="4"/>
      <c r="H844" s="1"/>
      <c r="I844" s="1"/>
      <c r="Q844" s="1"/>
      <c r="R844" s="1"/>
      <c r="U844" s="125"/>
      <c r="V844" s="111"/>
      <c r="W844" s="112"/>
      <c r="X844" s="113"/>
      <c r="Z844" s="1"/>
      <c r="AA844" s="1"/>
    </row>
    <row r="845">
      <c r="D845" s="4"/>
      <c r="H845" s="1"/>
      <c r="I845" s="1"/>
      <c r="Q845" s="1"/>
      <c r="R845" s="1"/>
      <c r="U845" s="125"/>
      <c r="V845" s="111"/>
      <c r="W845" s="112"/>
      <c r="X845" s="113"/>
      <c r="Z845" s="1"/>
      <c r="AA845" s="1"/>
    </row>
    <row r="846">
      <c r="D846" s="4"/>
      <c r="H846" s="1"/>
      <c r="I846" s="1"/>
      <c r="Q846" s="1"/>
      <c r="R846" s="1"/>
      <c r="U846" s="125"/>
      <c r="V846" s="111"/>
      <c r="W846" s="112"/>
      <c r="X846" s="113"/>
      <c r="Z846" s="1"/>
      <c r="AA846" s="1"/>
    </row>
    <row r="847">
      <c r="D847" s="4"/>
      <c r="H847" s="1"/>
      <c r="I847" s="1"/>
      <c r="Q847" s="1"/>
      <c r="R847" s="1"/>
      <c r="U847" s="125"/>
      <c r="V847" s="111"/>
      <c r="W847" s="112"/>
      <c r="X847" s="113"/>
      <c r="Z847" s="1"/>
      <c r="AA847" s="1"/>
    </row>
    <row r="848">
      <c r="D848" s="4"/>
      <c r="H848" s="1"/>
      <c r="I848" s="1"/>
      <c r="Q848" s="1"/>
      <c r="R848" s="1"/>
      <c r="U848" s="125"/>
      <c r="V848" s="111"/>
      <c r="W848" s="112"/>
      <c r="X848" s="113"/>
      <c r="Z848" s="1"/>
      <c r="AA848" s="1"/>
    </row>
    <row r="849">
      <c r="D849" s="4"/>
      <c r="H849" s="1"/>
      <c r="I849" s="1"/>
      <c r="Q849" s="1"/>
      <c r="R849" s="1"/>
      <c r="U849" s="125"/>
      <c r="V849" s="111"/>
      <c r="W849" s="112"/>
      <c r="X849" s="113"/>
      <c r="Z849" s="1"/>
      <c r="AA849" s="1"/>
    </row>
    <row r="850">
      <c r="D850" s="4"/>
      <c r="H850" s="1"/>
      <c r="I850" s="1"/>
      <c r="Q850" s="1"/>
      <c r="R850" s="1"/>
      <c r="U850" s="125"/>
      <c r="V850" s="111"/>
      <c r="W850" s="112"/>
      <c r="X850" s="113"/>
      <c r="Z850" s="1"/>
      <c r="AA850" s="1"/>
    </row>
    <row r="851">
      <c r="D851" s="4"/>
      <c r="H851" s="1"/>
      <c r="I851" s="1"/>
      <c r="Q851" s="1"/>
      <c r="R851" s="1"/>
      <c r="U851" s="125"/>
      <c r="V851" s="111"/>
      <c r="W851" s="112"/>
      <c r="X851" s="113"/>
      <c r="Z851" s="1"/>
      <c r="AA851" s="1"/>
    </row>
    <row r="852">
      <c r="D852" s="4"/>
      <c r="H852" s="1"/>
      <c r="I852" s="1"/>
      <c r="Q852" s="1"/>
      <c r="R852" s="1"/>
      <c r="U852" s="125"/>
      <c r="V852" s="111"/>
      <c r="W852" s="112"/>
      <c r="X852" s="113"/>
      <c r="Z852" s="1"/>
      <c r="AA852" s="1"/>
    </row>
    <row r="853">
      <c r="D853" s="4"/>
      <c r="H853" s="1"/>
      <c r="I853" s="1"/>
      <c r="Q853" s="1"/>
      <c r="R853" s="1"/>
      <c r="U853" s="125"/>
      <c r="V853" s="111"/>
      <c r="W853" s="112"/>
      <c r="X853" s="113"/>
      <c r="Z853" s="1"/>
      <c r="AA853" s="1"/>
    </row>
    <row r="854">
      <c r="D854" s="4"/>
      <c r="H854" s="1"/>
      <c r="I854" s="1"/>
      <c r="Q854" s="1"/>
      <c r="R854" s="1"/>
      <c r="U854" s="125"/>
      <c r="V854" s="111"/>
      <c r="W854" s="112"/>
      <c r="X854" s="113"/>
      <c r="Z854" s="1"/>
      <c r="AA854" s="1"/>
    </row>
    <row r="855">
      <c r="D855" s="4"/>
      <c r="H855" s="1"/>
      <c r="I855" s="1"/>
      <c r="Q855" s="1"/>
      <c r="R855" s="1"/>
      <c r="U855" s="125"/>
      <c r="V855" s="111"/>
      <c r="W855" s="112"/>
      <c r="X855" s="113"/>
      <c r="Z855" s="1"/>
      <c r="AA855" s="1"/>
    </row>
    <row r="856">
      <c r="D856" s="4"/>
      <c r="H856" s="1"/>
      <c r="I856" s="1"/>
      <c r="Q856" s="1"/>
      <c r="R856" s="1"/>
      <c r="U856" s="125"/>
      <c r="V856" s="111"/>
      <c r="W856" s="112"/>
      <c r="X856" s="113"/>
      <c r="Z856" s="1"/>
      <c r="AA856" s="1"/>
    </row>
    <row r="857">
      <c r="D857" s="4"/>
      <c r="H857" s="1"/>
      <c r="I857" s="1"/>
      <c r="Q857" s="1"/>
      <c r="R857" s="1"/>
      <c r="U857" s="125"/>
      <c r="V857" s="111"/>
      <c r="W857" s="112"/>
      <c r="X857" s="113"/>
      <c r="Z857" s="1"/>
      <c r="AA857" s="1"/>
    </row>
    <row r="858">
      <c r="D858" s="4"/>
      <c r="H858" s="1"/>
      <c r="I858" s="1"/>
      <c r="Q858" s="1"/>
      <c r="R858" s="1"/>
      <c r="U858" s="125"/>
      <c r="V858" s="111"/>
      <c r="W858" s="112"/>
      <c r="X858" s="113"/>
      <c r="Z858" s="1"/>
      <c r="AA858" s="1"/>
    </row>
    <row r="859">
      <c r="D859" s="4"/>
      <c r="H859" s="1"/>
      <c r="I859" s="1"/>
      <c r="Q859" s="1"/>
      <c r="R859" s="1"/>
      <c r="U859" s="125"/>
      <c r="V859" s="111"/>
      <c r="W859" s="112"/>
      <c r="X859" s="113"/>
      <c r="Z859" s="1"/>
      <c r="AA859" s="1"/>
    </row>
    <row r="860">
      <c r="D860" s="4"/>
      <c r="H860" s="1"/>
      <c r="I860" s="1"/>
      <c r="Q860" s="1"/>
      <c r="R860" s="1"/>
      <c r="U860" s="125"/>
      <c r="V860" s="111"/>
      <c r="W860" s="112"/>
      <c r="X860" s="113"/>
      <c r="Z860" s="1"/>
      <c r="AA860" s="1"/>
    </row>
    <row r="861">
      <c r="D861" s="4"/>
      <c r="H861" s="1"/>
      <c r="I861" s="1"/>
      <c r="Q861" s="1"/>
      <c r="R861" s="1"/>
      <c r="U861" s="125"/>
      <c r="V861" s="111"/>
      <c r="W861" s="112"/>
      <c r="X861" s="113"/>
      <c r="Z861" s="1"/>
      <c r="AA861" s="1"/>
    </row>
    <row r="862">
      <c r="D862" s="4"/>
      <c r="H862" s="1"/>
      <c r="I862" s="1"/>
      <c r="Q862" s="1"/>
      <c r="R862" s="1"/>
      <c r="U862" s="125"/>
      <c r="V862" s="111"/>
      <c r="W862" s="112"/>
      <c r="X862" s="113"/>
      <c r="Z862" s="1"/>
      <c r="AA862" s="1"/>
    </row>
    <row r="863">
      <c r="D863" s="4"/>
      <c r="H863" s="1"/>
      <c r="I863" s="1"/>
      <c r="Q863" s="1"/>
      <c r="R863" s="1"/>
      <c r="U863" s="125"/>
      <c r="V863" s="111"/>
      <c r="W863" s="112"/>
      <c r="X863" s="113"/>
      <c r="Z863" s="1"/>
      <c r="AA863" s="1"/>
    </row>
    <row r="864">
      <c r="D864" s="4"/>
      <c r="H864" s="1"/>
      <c r="I864" s="1"/>
      <c r="Q864" s="1"/>
      <c r="R864" s="1"/>
      <c r="U864" s="125"/>
      <c r="V864" s="111"/>
      <c r="W864" s="112"/>
      <c r="X864" s="113"/>
      <c r="Z864" s="1"/>
      <c r="AA864" s="1"/>
    </row>
    <row r="865">
      <c r="D865" s="4"/>
      <c r="H865" s="1"/>
      <c r="I865" s="1"/>
      <c r="Q865" s="1"/>
      <c r="R865" s="1"/>
      <c r="U865" s="125"/>
      <c r="V865" s="111"/>
      <c r="W865" s="112"/>
      <c r="X865" s="113"/>
      <c r="Z865" s="1"/>
      <c r="AA865" s="1"/>
    </row>
    <row r="866">
      <c r="D866" s="4"/>
      <c r="H866" s="1"/>
      <c r="I866" s="1"/>
      <c r="Q866" s="1"/>
      <c r="R866" s="1"/>
      <c r="U866" s="125"/>
      <c r="V866" s="111"/>
      <c r="W866" s="112"/>
      <c r="X866" s="113"/>
      <c r="Z866" s="1"/>
      <c r="AA866" s="1"/>
    </row>
    <row r="867">
      <c r="D867" s="4"/>
      <c r="H867" s="1"/>
      <c r="I867" s="1"/>
      <c r="Q867" s="1"/>
      <c r="R867" s="1"/>
      <c r="U867" s="125"/>
      <c r="V867" s="111"/>
      <c r="W867" s="112"/>
      <c r="X867" s="113"/>
      <c r="Z867" s="1"/>
      <c r="AA867" s="1"/>
    </row>
    <row r="868">
      <c r="D868" s="4"/>
      <c r="H868" s="1"/>
      <c r="I868" s="1"/>
      <c r="Q868" s="1"/>
      <c r="R868" s="1"/>
      <c r="U868" s="125"/>
      <c r="V868" s="111"/>
      <c r="W868" s="112"/>
      <c r="X868" s="113"/>
      <c r="Z868" s="1"/>
      <c r="AA868" s="1"/>
    </row>
    <row r="869">
      <c r="D869" s="4"/>
      <c r="H869" s="1"/>
      <c r="I869" s="1"/>
      <c r="Q869" s="1"/>
      <c r="R869" s="1"/>
      <c r="U869" s="125"/>
      <c r="V869" s="111"/>
      <c r="W869" s="112"/>
      <c r="X869" s="113"/>
      <c r="Z869" s="1"/>
      <c r="AA869" s="1"/>
    </row>
    <row r="870">
      <c r="D870" s="4"/>
      <c r="H870" s="1"/>
      <c r="I870" s="1"/>
      <c r="Q870" s="1"/>
      <c r="R870" s="1"/>
      <c r="U870" s="125"/>
      <c r="V870" s="111"/>
      <c r="W870" s="112"/>
      <c r="X870" s="113"/>
      <c r="Z870" s="1"/>
      <c r="AA870" s="1"/>
    </row>
    <row r="871">
      <c r="D871" s="4"/>
      <c r="H871" s="1"/>
      <c r="I871" s="1"/>
      <c r="Q871" s="1"/>
      <c r="R871" s="1"/>
      <c r="U871" s="125"/>
      <c r="V871" s="111"/>
      <c r="W871" s="112"/>
      <c r="X871" s="113"/>
      <c r="Z871" s="1"/>
      <c r="AA871" s="1"/>
    </row>
    <row r="872">
      <c r="D872" s="4"/>
      <c r="H872" s="1"/>
      <c r="I872" s="1"/>
      <c r="Q872" s="1"/>
      <c r="R872" s="1"/>
      <c r="U872" s="125"/>
      <c r="V872" s="111"/>
      <c r="W872" s="112"/>
      <c r="X872" s="113"/>
      <c r="Z872" s="1"/>
      <c r="AA872" s="1"/>
    </row>
    <row r="873">
      <c r="D873" s="4"/>
      <c r="H873" s="1"/>
      <c r="I873" s="1"/>
      <c r="Q873" s="1"/>
      <c r="R873" s="1"/>
      <c r="U873" s="125"/>
      <c r="V873" s="111"/>
      <c r="W873" s="112"/>
      <c r="X873" s="113"/>
      <c r="Z873" s="1"/>
      <c r="AA873" s="1"/>
    </row>
    <row r="874">
      <c r="D874" s="4"/>
      <c r="H874" s="1"/>
      <c r="I874" s="1"/>
      <c r="Q874" s="1"/>
      <c r="R874" s="1"/>
      <c r="U874" s="125"/>
      <c r="V874" s="111"/>
      <c r="W874" s="112"/>
      <c r="X874" s="113"/>
      <c r="Z874" s="1"/>
      <c r="AA874" s="1"/>
    </row>
    <row r="875">
      <c r="D875" s="4"/>
      <c r="H875" s="1"/>
      <c r="I875" s="1"/>
      <c r="Q875" s="1"/>
      <c r="R875" s="1"/>
      <c r="U875" s="125"/>
      <c r="V875" s="111"/>
      <c r="W875" s="112"/>
      <c r="X875" s="113"/>
      <c r="Z875" s="1"/>
      <c r="AA875" s="1"/>
    </row>
    <row r="876">
      <c r="D876" s="4"/>
      <c r="H876" s="1"/>
      <c r="I876" s="1"/>
      <c r="Q876" s="1"/>
      <c r="R876" s="1"/>
      <c r="U876" s="125"/>
      <c r="V876" s="111"/>
      <c r="W876" s="112"/>
      <c r="X876" s="113"/>
      <c r="Z876" s="1"/>
      <c r="AA876" s="1"/>
    </row>
    <row r="877">
      <c r="D877" s="4"/>
      <c r="H877" s="1"/>
      <c r="I877" s="1"/>
      <c r="Q877" s="1"/>
      <c r="R877" s="1"/>
      <c r="U877" s="125"/>
      <c r="V877" s="111"/>
      <c r="W877" s="112"/>
      <c r="X877" s="113"/>
      <c r="Z877" s="1"/>
      <c r="AA877" s="1"/>
    </row>
    <row r="878">
      <c r="D878" s="4"/>
      <c r="H878" s="1"/>
      <c r="I878" s="1"/>
      <c r="Q878" s="1"/>
      <c r="R878" s="1"/>
      <c r="U878" s="125"/>
      <c r="V878" s="111"/>
      <c r="W878" s="112"/>
      <c r="X878" s="113"/>
      <c r="Z878" s="1"/>
      <c r="AA878" s="1"/>
    </row>
    <row r="879">
      <c r="D879" s="4"/>
      <c r="H879" s="1"/>
      <c r="I879" s="1"/>
      <c r="Q879" s="1"/>
      <c r="R879" s="1"/>
      <c r="U879" s="125"/>
      <c r="V879" s="111"/>
      <c r="W879" s="112"/>
      <c r="X879" s="113"/>
      <c r="Z879" s="1"/>
      <c r="AA879" s="1"/>
    </row>
    <row r="880">
      <c r="D880" s="4"/>
      <c r="H880" s="1"/>
      <c r="I880" s="1"/>
      <c r="Q880" s="1"/>
      <c r="R880" s="1"/>
      <c r="U880" s="125"/>
      <c r="V880" s="111"/>
      <c r="W880" s="112"/>
      <c r="X880" s="113"/>
      <c r="Z880" s="1"/>
      <c r="AA880" s="1"/>
    </row>
    <row r="881">
      <c r="D881" s="4"/>
      <c r="H881" s="1"/>
      <c r="I881" s="1"/>
      <c r="Q881" s="1"/>
      <c r="R881" s="1"/>
      <c r="U881" s="125"/>
      <c r="V881" s="111"/>
      <c r="W881" s="112"/>
      <c r="X881" s="113"/>
      <c r="Z881" s="1"/>
      <c r="AA881" s="1"/>
    </row>
    <row r="882">
      <c r="D882" s="4"/>
      <c r="H882" s="1"/>
      <c r="I882" s="1"/>
      <c r="Q882" s="1"/>
      <c r="R882" s="1"/>
      <c r="U882" s="125"/>
      <c r="V882" s="111"/>
      <c r="W882" s="112"/>
      <c r="X882" s="113"/>
      <c r="Z882" s="1"/>
      <c r="AA882" s="1"/>
    </row>
    <row r="883">
      <c r="D883" s="4"/>
      <c r="H883" s="1"/>
      <c r="I883" s="1"/>
      <c r="Q883" s="1"/>
      <c r="R883" s="1"/>
      <c r="U883" s="125"/>
      <c r="V883" s="111"/>
      <c r="W883" s="112"/>
      <c r="X883" s="113"/>
      <c r="Z883" s="1"/>
      <c r="AA883" s="1"/>
    </row>
    <row r="884">
      <c r="D884" s="4"/>
      <c r="H884" s="1"/>
      <c r="I884" s="1"/>
      <c r="Q884" s="1"/>
      <c r="R884" s="1"/>
      <c r="U884" s="125"/>
      <c r="V884" s="111"/>
      <c r="W884" s="112"/>
      <c r="X884" s="113"/>
      <c r="Z884" s="1"/>
      <c r="AA884" s="1"/>
    </row>
    <row r="885">
      <c r="D885" s="4"/>
      <c r="H885" s="1"/>
      <c r="I885" s="1"/>
      <c r="Q885" s="1"/>
      <c r="R885" s="1"/>
      <c r="U885" s="125"/>
      <c r="V885" s="111"/>
      <c r="W885" s="112"/>
      <c r="X885" s="113"/>
      <c r="Z885" s="1"/>
      <c r="AA885" s="1"/>
    </row>
    <row r="886">
      <c r="D886" s="4"/>
      <c r="H886" s="1"/>
      <c r="I886" s="1"/>
      <c r="Q886" s="1"/>
      <c r="R886" s="1"/>
      <c r="U886" s="125"/>
      <c r="V886" s="111"/>
      <c r="W886" s="112"/>
      <c r="X886" s="113"/>
      <c r="Z886" s="1"/>
      <c r="AA886" s="1"/>
    </row>
    <row r="887">
      <c r="D887" s="4"/>
      <c r="H887" s="1"/>
      <c r="I887" s="1"/>
      <c r="Q887" s="1"/>
      <c r="R887" s="1"/>
      <c r="U887" s="125"/>
      <c r="V887" s="111"/>
      <c r="W887" s="112"/>
      <c r="X887" s="113"/>
      <c r="Z887" s="1"/>
      <c r="AA887" s="1"/>
    </row>
    <row r="888">
      <c r="D888" s="4"/>
      <c r="H888" s="1"/>
      <c r="I888" s="1"/>
      <c r="Q888" s="1"/>
      <c r="R888" s="1"/>
      <c r="U888" s="125"/>
      <c r="V888" s="111"/>
      <c r="W888" s="112"/>
      <c r="X888" s="113"/>
      <c r="Z888" s="1"/>
      <c r="AA888" s="1"/>
    </row>
    <row r="889">
      <c r="D889" s="4"/>
      <c r="H889" s="1"/>
      <c r="I889" s="1"/>
      <c r="Q889" s="1"/>
      <c r="R889" s="1"/>
      <c r="U889" s="125"/>
      <c r="V889" s="111"/>
      <c r="W889" s="112"/>
      <c r="X889" s="113"/>
      <c r="Z889" s="1"/>
      <c r="AA889" s="1"/>
    </row>
    <row r="890">
      <c r="D890" s="4"/>
      <c r="H890" s="1"/>
      <c r="I890" s="1"/>
      <c r="Q890" s="1"/>
      <c r="R890" s="1"/>
      <c r="U890" s="125"/>
      <c r="V890" s="111"/>
      <c r="W890" s="112"/>
      <c r="X890" s="113"/>
      <c r="Z890" s="1"/>
      <c r="AA890" s="1"/>
    </row>
    <row r="891">
      <c r="D891" s="4"/>
      <c r="H891" s="1"/>
      <c r="I891" s="1"/>
      <c r="Q891" s="1"/>
      <c r="R891" s="1"/>
      <c r="U891" s="125"/>
      <c r="V891" s="111"/>
      <c r="W891" s="112"/>
      <c r="X891" s="113"/>
      <c r="Z891" s="1"/>
      <c r="AA891" s="1"/>
    </row>
    <row r="892">
      <c r="D892" s="4"/>
      <c r="H892" s="1"/>
      <c r="I892" s="1"/>
      <c r="Q892" s="1"/>
      <c r="R892" s="1"/>
      <c r="U892" s="125"/>
      <c r="V892" s="111"/>
      <c r="W892" s="112"/>
      <c r="X892" s="113"/>
      <c r="Z892" s="1"/>
      <c r="AA892" s="1"/>
    </row>
    <row r="893">
      <c r="D893" s="4"/>
      <c r="H893" s="1"/>
      <c r="I893" s="1"/>
      <c r="Q893" s="1"/>
      <c r="R893" s="1"/>
      <c r="U893" s="125"/>
      <c r="V893" s="111"/>
      <c r="W893" s="112"/>
      <c r="X893" s="113"/>
      <c r="Z893" s="1"/>
      <c r="AA893" s="1"/>
    </row>
    <row r="894">
      <c r="D894" s="4"/>
      <c r="H894" s="1"/>
      <c r="I894" s="1"/>
      <c r="Q894" s="1"/>
      <c r="R894" s="1"/>
      <c r="U894" s="125"/>
      <c r="V894" s="111"/>
      <c r="W894" s="112"/>
      <c r="X894" s="113"/>
      <c r="Z894" s="1"/>
      <c r="AA894" s="1"/>
    </row>
    <row r="895">
      <c r="D895" s="4"/>
      <c r="H895" s="1"/>
      <c r="I895" s="1"/>
      <c r="Q895" s="1"/>
      <c r="R895" s="1"/>
      <c r="U895" s="125"/>
      <c r="V895" s="111"/>
      <c r="W895" s="112"/>
      <c r="X895" s="113"/>
      <c r="Z895" s="1"/>
      <c r="AA895" s="1"/>
    </row>
    <row r="896">
      <c r="D896" s="4"/>
      <c r="H896" s="1"/>
      <c r="I896" s="1"/>
      <c r="Q896" s="1"/>
      <c r="R896" s="1"/>
      <c r="U896" s="125"/>
      <c r="V896" s="111"/>
      <c r="W896" s="112"/>
      <c r="X896" s="113"/>
      <c r="Z896" s="1"/>
      <c r="AA896" s="1"/>
    </row>
    <row r="897">
      <c r="D897" s="4"/>
      <c r="H897" s="1"/>
      <c r="I897" s="1"/>
      <c r="Q897" s="1"/>
      <c r="R897" s="1"/>
      <c r="U897" s="125"/>
      <c r="V897" s="111"/>
      <c r="W897" s="112"/>
      <c r="X897" s="113"/>
      <c r="Z897" s="1"/>
      <c r="AA897" s="1"/>
    </row>
    <row r="898">
      <c r="D898" s="4"/>
      <c r="H898" s="1"/>
      <c r="I898" s="1"/>
      <c r="Q898" s="1"/>
      <c r="R898" s="1"/>
      <c r="U898" s="125"/>
      <c r="V898" s="111"/>
      <c r="W898" s="112"/>
      <c r="X898" s="113"/>
      <c r="Z898" s="1"/>
      <c r="AA898" s="1"/>
    </row>
    <row r="899">
      <c r="D899" s="4"/>
      <c r="H899" s="1"/>
      <c r="I899" s="1"/>
      <c r="Q899" s="1"/>
      <c r="R899" s="1"/>
      <c r="U899" s="125"/>
      <c r="V899" s="111"/>
      <c r="W899" s="112"/>
      <c r="X899" s="113"/>
      <c r="Z899" s="1"/>
      <c r="AA899" s="1"/>
    </row>
    <row r="900">
      <c r="D900" s="4"/>
      <c r="H900" s="1"/>
      <c r="I900" s="1"/>
      <c r="Q900" s="1"/>
      <c r="R900" s="1"/>
      <c r="U900" s="125"/>
      <c r="V900" s="111"/>
      <c r="W900" s="112"/>
      <c r="X900" s="113"/>
      <c r="Z900" s="1"/>
      <c r="AA900" s="1"/>
    </row>
    <row r="901">
      <c r="D901" s="4"/>
      <c r="H901" s="1"/>
      <c r="I901" s="1"/>
      <c r="Q901" s="1"/>
      <c r="R901" s="1"/>
      <c r="U901" s="125"/>
      <c r="V901" s="111"/>
      <c r="W901" s="112"/>
      <c r="X901" s="113"/>
      <c r="Z901" s="1"/>
      <c r="AA901" s="1"/>
    </row>
    <row r="902">
      <c r="D902" s="4"/>
      <c r="H902" s="1"/>
      <c r="I902" s="1"/>
      <c r="Q902" s="1"/>
      <c r="R902" s="1"/>
      <c r="U902" s="125"/>
      <c r="V902" s="111"/>
      <c r="W902" s="112"/>
      <c r="X902" s="113"/>
      <c r="Z902" s="1"/>
      <c r="AA902" s="1"/>
    </row>
    <row r="903">
      <c r="D903" s="4"/>
      <c r="H903" s="1"/>
      <c r="I903" s="1"/>
      <c r="Q903" s="1"/>
      <c r="R903" s="1"/>
      <c r="U903" s="125"/>
      <c r="V903" s="111"/>
      <c r="W903" s="112"/>
      <c r="X903" s="113"/>
      <c r="Z903" s="1"/>
      <c r="AA903" s="1"/>
    </row>
    <row r="904">
      <c r="D904" s="4"/>
      <c r="H904" s="1"/>
      <c r="I904" s="1"/>
      <c r="Q904" s="1"/>
      <c r="R904" s="1"/>
      <c r="U904" s="125"/>
      <c r="V904" s="111"/>
      <c r="W904" s="112"/>
      <c r="X904" s="113"/>
      <c r="Z904" s="1"/>
      <c r="AA904" s="1"/>
    </row>
    <row r="905">
      <c r="D905" s="4"/>
      <c r="H905" s="1"/>
      <c r="I905" s="1"/>
      <c r="Q905" s="1"/>
      <c r="R905" s="1"/>
      <c r="U905" s="125"/>
      <c r="V905" s="111"/>
      <c r="W905" s="112"/>
      <c r="X905" s="113"/>
      <c r="Z905" s="1"/>
      <c r="AA905" s="1"/>
    </row>
    <row r="906">
      <c r="D906" s="4"/>
      <c r="H906" s="1"/>
      <c r="I906" s="1"/>
      <c r="Q906" s="1"/>
      <c r="R906" s="1"/>
      <c r="U906" s="125"/>
      <c r="V906" s="111"/>
      <c r="W906" s="112"/>
      <c r="X906" s="113"/>
      <c r="Z906" s="1"/>
      <c r="AA906" s="1"/>
    </row>
    <row r="907">
      <c r="D907" s="4"/>
      <c r="H907" s="1"/>
      <c r="I907" s="1"/>
      <c r="Q907" s="1"/>
      <c r="R907" s="1"/>
      <c r="U907" s="125"/>
      <c r="V907" s="111"/>
      <c r="W907" s="112"/>
      <c r="X907" s="113"/>
      <c r="Z907" s="1"/>
      <c r="AA907" s="1"/>
    </row>
    <row r="908">
      <c r="D908" s="4"/>
      <c r="H908" s="1"/>
      <c r="I908" s="1"/>
      <c r="Q908" s="1"/>
      <c r="R908" s="1"/>
      <c r="U908" s="125"/>
      <c r="V908" s="111"/>
      <c r="W908" s="112"/>
      <c r="X908" s="113"/>
      <c r="Z908" s="1"/>
      <c r="AA908" s="1"/>
    </row>
    <row r="909">
      <c r="D909" s="4"/>
      <c r="H909" s="1"/>
      <c r="I909" s="1"/>
      <c r="Q909" s="1"/>
      <c r="R909" s="1"/>
      <c r="U909" s="125"/>
      <c r="V909" s="111"/>
      <c r="W909" s="112"/>
      <c r="X909" s="113"/>
      <c r="Z909" s="1"/>
      <c r="AA909" s="1"/>
    </row>
    <row r="910">
      <c r="D910" s="4"/>
      <c r="H910" s="1"/>
      <c r="I910" s="1"/>
      <c r="Q910" s="1"/>
      <c r="R910" s="1"/>
      <c r="U910" s="125"/>
      <c r="V910" s="111"/>
      <c r="W910" s="112"/>
      <c r="X910" s="113"/>
      <c r="Z910" s="1"/>
      <c r="AA910" s="1"/>
    </row>
    <row r="911">
      <c r="D911" s="4"/>
      <c r="H911" s="1"/>
      <c r="I911" s="1"/>
      <c r="Q911" s="1"/>
      <c r="R911" s="1"/>
      <c r="U911" s="125"/>
      <c r="V911" s="111"/>
      <c r="W911" s="112"/>
      <c r="X911" s="113"/>
      <c r="Z911" s="1"/>
      <c r="AA911" s="1"/>
    </row>
    <row r="912">
      <c r="D912" s="4"/>
      <c r="H912" s="1"/>
      <c r="I912" s="1"/>
      <c r="Q912" s="1"/>
      <c r="R912" s="1"/>
      <c r="U912" s="125"/>
      <c r="V912" s="111"/>
      <c r="W912" s="112"/>
      <c r="X912" s="113"/>
      <c r="Z912" s="1"/>
      <c r="AA912" s="1"/>
    </row>
    <row r="913">
      <c r="D913" s="4"/>
      <c r="H913" s="1"/>
      <c r="I913" s="1"/>
      <c r="Q913" s="1"/>
      <c r="R913" s="1"/>
      <c r="U913" s="125"/>
      <c r="V913" s="111"/>
      <c r="W913" s="112"/>
      <c r="X913" s="113"/>
      <c r="Z913" s="1"/>
      <c r="AA913" s="1"/>
    </row>
    <row r="914">
      <c r="D914" s="4"/>
      <c r="H914" s="1"/>
      <c r="I914" s="1"/>
      <c r="Q914" s="1"/>
      <c r="R914" s="1"/>
      <c r="U914" s="125"/>
      <c r="V914" s="111"/>
      <c r="W914" s="112"/>
      <c r="X914" s="113"/>
      <c r="Z914" s="1"/>
      <c r="AA914" s="1"/>
    </row>
    <row r="915">
      <c r="D915" s="4"/>
      <c r="H915" s="1"/>
      <c r="I915" s="1"/>
      <c r="Q915" s="1"/>
      <c r="R915" s="1"/>
      <c r="U915" s="125"/>
      <c r="V915" s="111"/>
      <c r="W915" s="112"/>
      <c r="X915" s="113"/>
      <c r="Z915" s="1"/>
      <c r="AA915" s="1"/>
    </row>
    <row r="916">
      <c r="D916" s="4"/>
      <c r="H916" s="1"/>
      <c r="I916" s="1"/>
      <c r="Q916" s="1"/>
      <c r="R916" s="1"/>
      <c r="U916" s="125"/>
      <c r="V916" s="111"/>
      <c r="W916" s="112"/>
      <c r="X916" s="113"/>
      <c r="Z916" s="1"/>
      <c r="AA916" s="1"/>
    </row>
    <row r="917">
      <c r="D917" s="4"/>
      <c r="H917" s="1"/>
      <c r="I917" s="1"/>
      <c r="Q917" s="1"/>
      <c r="R917" s="1"/>
      <c r="U917" s="125"/>
      <c r="V917" s="111"/>
      <c r="W917" s="112"/>
      <c r="X917" s="113"/>
      <c r="Z917" s="1"/>
      <c r="AA917" s="1"/>
    </row>
    <row r="918">
      <c r="D918" s="4"/>
      <c r="H918" s="1"/>
      <c r="I918" s="1"/>
      <c r="Q918" s="1"/>
      <c r="R918" s="1"/>
      <c r="U918" s="125"/>
      <c r="V918" s="111"/>
      <c r="W918" s="112"/>
      <c r="X918" s="113"/>
      <c r="Z918" s="1"/>
      <c r="AA918" s="1"/>
    </row>
    <row r="919">
      <c r="D919" s="4"/>
      <c r="H919" s="1"/>
      <c r="I919" s="1"/>
      <c r="Q919" s="1"/>
      <c r="R919" s="1"/>
      <c r="U919" s="125"/>
      <c r="V919" s="111"/>
      <c r="W919" s="112"/>
      <c r="X919" s="113"/>
      <c r="Z919" s="1"/>
      <c r="AA919" s="1"/>
    </row>
    <row r="920">
      <c r="D920" s="4"/>
      <c r="H920" s="1"/>
      <c r="I920" s="1"/>
      <c r="Q920" s="1"/>
      <c r="R920" s="1"/>
      <c r="U920" s="125"/>
      <c r="V920" s="111"/>
      <c r="W920" s="112"/>
      <c r="X920" s="113"/>
      <c r="Z920" s="1"/>
      <c r="AA920" s="1"/>
    </row>
    <row r="921">
      <c r="D921" s="4"/>
      <c r="H921" s="1"/>
      <c r="I921" s="1"/>
      <c r="Q921" s="1"/>
      <c r="R921" s="1"/>
      <c r="U921" s="125"/>
      <c r="V921" s="111"/>
      <c r="W921" s="112"/>
      <c r="X921" s="113"/>
      <c r="Z921" s="1"/>
      <c r="AA921" s="1"/>
    </row>
    <row r="922">
      <c r="D922" s="4"/>
      <c r="H922" s="1"/>
      <c r="I922" s="1"/>
      <c r="Q922" s="1"/>
      <c r="R922" s="1"/>
      <c r="U922" s="125"/>
      <c r="V922" s="111"/>
      <c r="W922" s="112"/>
      <c r="X922" s="113"/>
      <c r="Z922" s="1"/>
      <c r="AA922" s="1"/>
    </row>
    <row r="923">
      <c r="D923" s="4"/>
      <c r="H923" s="1"/>
      <c r="I923" s="1"/>
      <c r="Q923" s="1"/>
      <c r="R923" s="1"/>
      <c r="U923" s="125"/>
      <c r="V923" s="111"/>
      <c r="W923" s="112"/>
      <c r="X923" s="113"/>
      <c r="Z923" s="1"/>
      <c r="AA923" s="1"/>
    </row>
    <row r="924">
      <c r="D924" s="4"/>
      <c r="H924" s="1"/>
      <c r="I924" s="1"/>
      <c r="Q924" s="1"/>
      <c r="R924" s="1"/>
      <c r="U924" s="125"/>
      <c r="V924" s="111"/>
      <c r="W924" s="112"/>
      <c r="X924" s="113"/>
      <c r="Z924" s="1"/>
      <c r="AA924" s="1"/>
    </row>
    <row r="925">
      <c r="D925" s="4"/>
      <c r="H925" s="1"/>
      <c r="I925" s="1"/>
      <c r="Q925" s="1"/>
      <c r="R925" s="1"/>
      <c r="U925" s="125"/>
      <c r="V925" s="111"/>
      <c r="W925" s="112"/>
      <c r="X925" s="113"/>
      <c r="Z925" s="1"/>
      <c r="AA925" s="1"/>
    </row>
    <row r="926">
      <c r="D926" s="4"/>
      <c r="H926" s="1"/>
      <c r="I926" s="1"/>
      <c r="Q926" s="1"/>
      <c r="R926" s="1"/>
      <c r="U926" s="125"/>
      <c r="V926" s="111"/>
      <c r="W926" s="112"/>
      <c r="X926" s="113"/>
      <c r="Z926" s="1"/>
      <c r="AA926" s="1"/>
    </row>
    <row r="927">
      <c r="D927" s="4"/>
      <c r="H927" s="1"/>
      <c r="I927" s="1"/>
      <c r="Q927" s="1"/>
      <c r="R927" s="1"/>
      <c r="U927" s="125"/>
      <c r="V927" s="111"/>
      <c r="W927" s="112"/>
      <c r="X927" s="113"/>
      <c r="Z927" s="1"/>
      <c r="AA927" s="1"/>
    </row>
    <row r="928">
      <c r="D928" s="4"/>
      <c r="H928" s="1"/>
      <c r="I928" s="1"/>
      <c r="Q928" s="1"/>
      <c r="R928" s="1"/>
      <c r="U928" s="125"/>
      <c r="V928" s="111"/>
      <c r="W928" s="112"/>
      <c r="X928" s="113"/>
      <c r="Z928" s="1"/>
      <c r="AA928" s="1"/>
    </row>
    <row r="929">
      <c r="D929" s="4"/>
      <c r="H929" s="1"/>
      <c r="I929" s="1"/>
      <c r="Q929" s="1"/>
      <c r="R929" s="1"/>
      <c r="U929" s="125"/>
      <c r="V929" s="111"/>
      <c r="W929" s="112"/>
      <c r="X929" s="113"/>
      <c r="Z929" s="1"/>
      <c r="AA929" s="1"/>
    </row>
    <row r="930">
      <c r="D930" s="4"/>
      <c r="H930" s="1"/>
      <c r="I930" s="1"/>
      <c r="Q930" s="1"/>
      <c r="R930" s="1"/>
      <c r="U930" s="125"/>
      <c r="V930" s="111"/>
      <c r="W930" s="112"/>
      <c r="X930" s="113"/>
      <c r="Z930" s="1"/>
      <c r="AA930" s="1"/>
    </row>
    <row r="931">
      <c r="D931" s="4"/>
      <c r="H931" s="1"/>
      <c r="I931" s="1"/>
      <c r="Q931" s="1"/>
      <c r="R931" s="1"/>
      <c r="U931" s="125"/>
      <c r="V931" s="111"/>
      <c r="W931" s="112"/>
      <c r="X931" s="113"/>
      <c r="Z931" s="1"/>
      <c r="AA931" s="1"/>
    </row>
    <row r="932">
      <c r="D932" s="4"/>
      <c r="H932" s="1"/>
      <c r="I932" s="1"/>
      <c r="Q932" s="1"/>
      <c r="R932" s="1"/>
      <c r="U932" s="125"/>
      <c r="V932" s="111"/>
      <c r="W932" s="112"/>
      <c r="X932" s="113"/>
      <c r="Z932" s="1"/>
      <c r="AA932" s="1"/>
    </row>
    <row r="933">
      <c r="D933" s="4"/>
      <c r="H933" s="1"/>
      <c r="I933" s="1"/>
      <c r="Q933" s="1"/>
      <c r="R933" s="1"/>
      <c r="U933" s="125"/>
      <c r="V933" s="111"/>
      <c r="W933" s="112"/>
      <c r="X933" s="113"/>
      <c r="Z933" s="1"/>
      <c r="AA933" s="1"/>
    </row>
    <row r="934">
      <c r="D934" s="4"/>
      <c r="H934" s="1"/>
      <c r="I934" s="1"/>
      <c r="Q934" s="1"/>
      <c r="R934" s="1"/>
      <c r="U934" s="125"/>
      <c r="V934" s="111"/>
      <c r="W934" s="112"/>
      <c r="X934" s="113"/>
      <c r="Z934" s="1"/>
      <c r="AA934" s="1"/>
    </row>
    <row r="935">
      <c r="D935" s="4"/>
      <c r="H935" s="1"/>
      <c r="I935" s="1"/>
      <c r="Q935" s="1"/>
      <c r="R935" s="1"/>
      <c r="U935" s="125"/>
      <c r="V935" s="111"/>
      <c r="W935" s="112"/>
      <c r="X935" s="113"/>
      <c r="Z935" s="1"/>
      <c r="AA935" s="1"/>
    </row>
    <row r="936">
      <c r="D936" s="4"/>
      <c r="H936" s="1"/>
      <c r="I936" s="1"/>
      <c r="Q936" s="1"/>
      <c r="R936" s="1"/>
      <c r="U936" s="125"/>
      <c r="V936" s="111"/>
      <c r="W936" s="112"/>
      <c r="X936" s="113"/>
      <c r="Z936" s="1"/>
      <c r="AA936" s="1"/>
    </row>
    <row r="937">
      <c r="D937" s="4"/>
      <c r="H937" s="1"/>
      <c r="I937" s="1"/>
      <c r="Q937" s="1"/>
      <c r="R937" s="1"/>
      <c r="U937" s="125"/>
      <c r="V937" s="111"/>
      <c r="W937" s="112"/>
      <c r="X937" s="113"/>
      <c r="Z937" s="1"/>
      <c r="AA937" s="1"/>
    </row>
    <row r="938">
      <c r="D938" s="4"/>
      <c r="H938" s="1"/>
      <c r="I938" s="1"/>
      <c r="Q938" s="1"/>
      <c r="R938" s="1"/>
      <c r="U938" s="125"/>
      <c r="V938" s="111"/>
      <c r="W938" s="112"/>
      <c r="X938" s="113"/>
      <c r="Z938" s="1"/>
      <c r="AA938" s="1"/>
    </row>
    <row r="939">
      <c r="D939" s="4"/>
      <c r="H939" s="1"/>
      <c r="I939" s="1"/>
      <c r="Q939" s="1"/>
      <c r="R939" s="1"/>
      <c r="U939" s="125"/>
      <c r="V939" s="111"/>
      <c r="W939" s="112"/>
      <c r="X939" s="113"/>
      <c r="Z939" s="1"/>
      <c r="AA939" s="1"/>
    </row>
    <row r="940">
      <c r="D940" s="4"/>
      <c r="H940" s="1"/>
      <c r="I940" s="1"/>
      <c r="Q940" s="1"/>
      <c r="R940" s="1"/>
      <c r="U940" s="125"/>
      <c r="V940" s="111"/>
      <c r="W940" s="112"/>
      <c r="X940" s="113"/>
      <c r="Z940" s="1"/>
      <c r="AA940" s="1"/>
    </row>
    <row r="941">
      <c r="D941" s="4"/>
      <c r="H941" s="1"/>
      <c r="I941" s="1"/>
      <c r="Q941" s="1"/>
      <c r="R941" s="1"/>
      <c r="U941" s="125"/>
      <c r="V941" s="111"/>
      <c r="W941" s="112"/>
      <c r="X941" s="113"/>
      <c r="Z941" s="1"/>
      <c r="AA941" s="1"/>
    </row>
    <row r="942">
      <c r="D942" s="4"/>
      <c r="H942" s="1"/>
      <c r="I942" s="1"/>
      <c r="Q942" s="1"/>
      <c r="R942" s="1"/>
      <c r="U942" s="125"/>
      <c r="V942" s="111"/>
      <c r="W942" s="112"/>
      <c r="X942" s="113"/>
      <c r="Z942" s="1"/>
      <c r="AA942" s="1"/>
    </row>
    <row r="943">
      <c r="D943" s="4"/>
      <c r="H943" s="1"/>
      <c r="I943" s="1"/>
      <c r="Q943" s="1"/>
      <c r="R943" s="1"/>
      <c r="U943" s="125"/>
      <c r="V943" s="111"/>
      <c r="W943" s="112"/>
      <c r="X943" s="113"/>
      <c r="Z943" s="1"/>
      <c r="AA943" s="1"/>
    </row>
    <row r="944">
      <c r="D944" s="4"/>
      <c r="H944" s="1"/>
      <c r="I944" s="1"/>
      <c r="Q944" s="1"/>
      <c r="R944" s="1"/>
      <c r="U944" s="125"/>
      <c r="V944" s="111"/>
      <c r="W944" s="112"/>
      <c r="X944" s="113"/>
      <c r="Z944" s="1"/>
      <c r="AA944" s="1"/>
    </row>
    <row r="945">
      <c r="D945" s="4"/>
      <c r="H945" s="1"/>
      <c r="I945" s="1"/>
      <c r="Q945" s="1"/>
      <c r="R945" s="1"/>
      <c r="U945" s="125"/>
      <c r="V945" s="111"/>
      <c r="W945" s="112"/>
      <c r="X945" s="113"/>
      <c r="Z945" s="1"/>
      <c r="AA945" s="1"/>
    </row>
    <row r="946">
      <c r="D946" s="4"/>
      <c r="H946" s="1"/>
      <c r="I946" s="1"/>
      <c r="Q946" s="1"/>
      <c r="R946" s="1"/>
      <c r="U946" s="125"/>
      <c r="V946" s="111"/>
      <c r="W946" s="112"/>
      <c r="X946" s="113"/>
      <c r="Z946" s="1"/>
      <c r="AA946" s="1"/>
    </row>
    <row r="947">
      <c r="D947" s="4"/>
      <c r="H947" s="1"/>
      <c r="I947" s="1"/>
      <c r="Q947" s="1"/>
      <c r="R947" s="1"/>
      <c r="U947" s="125"/>
      <c r="V947" s="111"/>
      <c r="W947" s="112"/>
      <c r="X947" s="113"/>
      <c r="Z947" s="1"/>
      <c r="AA947" s="1"/>
    </row>
    <row r="948">
      <c r="D948" s="4"/>
      <c r="H948" s="1"/>
      <c r="I948" s="1"/>
      <c r="Q948" s="1"/>
      <c r="R948" s="1"/>
      <c r="U948" s="125"/>
      <c r="V948" s="111"/>
      <c r="W948" s="112"/>
      <c r="X948" s="113"/>
      <c r="Z948" s="1"/>
      <c r="AA948" s="1"/>
    </row>
    <row r="949">
      <c r="D949" s="4"/>
      <c r="H949" s="1"/>
      <c r="I949" s="1"/>
      <c r="Q949" s="1"/>
      <c r="R949" s="1"/>
      <c r="U949" s="125"/>
      <c r="V949" s="111"/>
      <c r="W949" s="112"/>
      <c r="X949" s="113"/>
      <c r="Z949" s="1"/>
      <c r="AA949" s="1"/>
    </row>
    <row r="950">
      <c r="D950" s="4"/>
      <c r="H950" s="1"/>
      <c r="I950" s="1"/>
      <c r="Q950" s="1"/>
      <c r="R950" s="1"/>
      <c r="U950" s="125"/>
      <c r="V950" s="111"/>
      <c r="W950" s="112"/>
      <c r="X950" s="113"/>
      <c r="Z950" s="1"/>
      <c r="AA950" s="1"/>
    </row>
    <row r="951">
      <c r="D951" s="4"/>
      <c r="H951" s="1"/>
      <c r="I951" s="1"/>
      <c r="Q951" s="1"/>
      <c r="R951" s="1"/>
      <c r="U951" s="125"/>
      <c r="V951" s="111"/>
      <c r="W951" s="112"/>
      <c r="X951" s="113"/>
      <c r="Z951" s="1"/>
      <c r="AA951" s="1"/>
    </row>
    <row r="952">
      <c r="D952" s="4"/>
      <c r="H952" s="1"/>
      <c r="I952" s="1"/>
      <c r="Q952" s="1"/>
      <c r="R952" s="1"/>
      <c r="U952" s="125"/>
      <c r="V952" s="111"/>
      <c r="W952" s="112"/>
      <c r="X952" s="113"/>
      <c r="Z952" s="1"/>
      <c r="AA952" s="1"/>
    </row>
    <row r="953">
      <c r="D953" s="4"/>
      <c r="H953" s="1"/>
      <c r="I953" s="1"/>
      <c r="Q953" s="1"/>
      <c r="R953" s="1"/>
      <c r="U953" s="125"/>
      <c r="V953" s="111"/>
      <c r="W953" s="112"/>
      <c r="X953" s="113"/>
      <c r="Z953" s="1"/>
      <c r="AA953" s="1"/>
    </row>
    <row r="954">
      <c r="D954" s="4"/>
      <c r="H954" s="1"/>
      <c r="I954" s="1"/>
      <c r="Q954" s="1"/>
      <c r="R954" s="1"/>
      <c r="U954" s="125"/>
      <c r="V954" s="111"/>
      <c r="W954" s="112"/>
      <c r="X954" s="113"/>
      <c r="Z954" s="1"/>
      <c r="AA954" s="1"/>
    </row>
    <row r="955">
      <c r="D955" s="4"/>
      <c r="H955" s="1"/>
      <c r="I955" s="1"/>
      <c r="Q955" s="1"/>
      <c r="R955" s="1"/>
      <c r="U955" s="125"/>
      <c r="V955" s="111"/>
      <c r="W955" s="112"/>
      <c r="X955" s="113"/>
      <c r="Z955" s="1"/>
      <c r="AA955" s="1"/>
    </row>
    <row r="956">
      <c r="D956" s="4"/>
      <c r="H956" s="1"/>
      <c r="I956" s="1"/>
      <c r="Q956" s="1"/>
      <c r="R956" s="1"/>
      <c r="U956" s="125"/>
      <c r="V956" s="111"/>
      <c r="W956" s="112"/>
      <c r="X956" s="113"/>
      <c r="Z956" s="1"/>
      <c r="AA956" s="1"/>
    </row>
    <row r="957">
      <c r="D957" s="4"/>
      <c r="H957" s="1"/>
      <c r="I957" s="1"/>
      <c r="Q957" s="1"/>
      <c r="R957" s="1"/>
      <c r="U957" s="125"/>
      <c r="V957" s="111"/>
      <c r="W957" s="112"/>
      <c r="X957" s="113"/>
      <c r="Z957" s="1"/>
      <c r="AA957" s="1"/>
    </row>
    <row r="958">
      <c r="D958" s="4"/>
      <c r="H958" s="1"/>
      <c r="I958" s="1"/>
      <c r="Q958" s="1"/>
      <c r="R958" s="1"/>
      <c r="U958" s="125"/>
      <c r="V958" s="111"/>
      <c r="W958" s="112"/>
      <c r="X958" s="113"/>
      <c r="Z958" s="1"/>
      <c r="AA958" s="1"/>
    </row>
    <row r="959">
      <c r="D959" s="4"/>
      <c r="H959" s="1"/>
      <c r="I959" s="1"/>
      <c r="Q959" s="1"/>
      <c r="R959" s="1"/>
      <c r="U959" s="125"/>
      <c r="V959" s="111"/>
      <c r="W959" s="112"/>
      <c r="X959" s="113"/>
      <c r="Z959" s="1"/>
      <c r="AA959" s="1"/>
    </row>
    <row r="960">
      <c r="D960" s="4"/>
      <c r="H960" s="1"/>
      <c r="I960" s="1"/>
      <c r="Q960" s="1"/>
      <c r="R960" s="1"/>
      <c r="U960" s="125"/>
      <c r="V960" s="111"/>
      <c r="W960" s="112"/>
      <c r="X960" s="113"/>
      <c r="Z960" s="1"/>
      <c r="AA960" s="1"/>
    </row>
    <row r="961">
      <c r="D961" s="4"/>
      <c r="H961" s="1"/>
      <c r="I961" s="1"/>
      <c r="Q961" s="1"/>
      <c r="R961" s="1"/>
      <c r="U961" s="125"/>
      <c r="V961" s="111"/>
      <c r="W961" s="112"/>
      <c r="X961" s="113"/>
      <c r="Z961" s="1"/>
      <c r="AA961" s="1"/>
    </row>
    <row r="962">
      <c r="D962" s="4"/>
      <c r="H962" s="1"/>
      <c r="I962" s="1"/>
      <c r="Q962" s="1"/>
      <c r="R962" s="1"/>
      <c r="U962" s="125"/>
      <c r="V962" s="111"/>
      <c r="W962" s="112"/>
      <c r="X962" s="113"/>
      <c r="Z962" s="1"/>
      <c r="AA962" s="1"/>
    </row>
    <row r="963">
      <c r="D963" s="4"/>
      <c r="H963" s="1"/>
      <c r="I963" s="1"/>
      <c r="Q963" s="1"/>
      <c r="R963" s="1"/>
      <c r="U963" s="125"/>
      <c r="V963" s="111"/>
      <c r="W963" s="112"/>
      <c r="X963" s="113"/>
      <c r="Z963" s="1"/>
      <c r="AA963" s="1"/>
    </row>
    <row r="964">
      <c r="D964" s="4"/>
      <c r="H964" s="1"/>
      <c r="I964" s="1"/>
      <c r="Q964" s="1"/>
      <c r="R964" s="1"/>
      <c r="U964" s="125"/>
      <c r="V964" s="111"/>
      <c r="W964" s="112"/>
      <c r="X964" s="113"/>
      <c r="Z964" s="1"/>
      <c r="AA964" s="1"/>
    </row>
    <row r="965">
      <c r="D965" s="4"/>
      <c r="H965" s="1"/>
      <c r="I965" s="1"/>
      <c r="Q965" s="1"/>
      <c r="R965" s="1"/>
      <c r="U965" s="125"/>
      <c r="V965" s="111"/>
      <c r="W965" s="112"/>
      <c r="X965" s="113"/>
      <c r="Z965" s="1"/>
      <c r="AA965" s="1"/>
    </row>
    <row r="966">
      <c r="D966" s="4"/>
      <c r="H966" s="1"/>
      <c r="I966" s="1"/>
      <c r="Q966" s="1"/>
      <c r="R966" s="1"/>
      <c r="U966" s="125"/>
      <c r="V966" s="111"/>
      <c r="W966" s="112"/>
      <c r="X966" s="113"/>
      <c r="Z966" s="1"/>
      <c r="AA966" s="1"/>
    </row>
    <row r="967">
      <c r="D967" s="4"/>
      <c r="H967" s="1"/>
      <c r="I967" s="1"/>
      <c r="Q967" s="1"/>
      <c r="R967" s="1"/>
      <c r="U967" s="125"/>
      <c r="V967" s="111"/>
      <c r="W967" s="112"/>
      <c r="X967" s="113"/>
      <c r="Z967" s="1"/>
      <c r="AA967" s="1"/>
    </row>
    <row r="968">
      <c r="D968" s="4"/>
      <c r="H968" s="1"/>
      <c r="I968" s="1"/>
      <c r="Q968" s="1"/>
      <c r="R968" s="1"/>
      <c r="U968" s="125"/>
      <c r="V968" s="111"/>
      <c r="W968" s="112"/>
      <c r="X968" s="113"/>
      <c r="Z968" s="1"/>
      <c r="AA968" s="1"/>
    </row>
    <row r="969">
      <c r="D969" s="4"/>
      <c r="H969" s="1"/>
      <c r="I969" s="1"/>
      <c r="Q969" s="1"/>
      <c r="R969" s="1"/>
      <c r="U969" s="125"/>
      <c r="V969" s="111"/>
      <c r="W969" s="112"/>
      <c r="X969" s="113"/>
      <c r="Z969" s="1"/>
      <c r="AA969" s="1"/>
    </row>
    <row r="970">
      <c r="D970" s="4"/>
      <c r="H970" s="1"/>
      <c r="I970" s="1"/>
      <c r="Q970" s="1"/>
      <c r="R970" s="1"/>
      <c r="U970" s="125"/>
      <c r="V970" s="111"/>
      <c r="W970" s="112"/>
      <c r="X970" s="113"/>
      <c r="Z970" s="1"/>
      <c r="AA970" s="1"/>
    </row>
    <row r="971">
      <c r="D971" s="4"/>
      <c r="H971" s="1"/>
      <c r="I971" s="1"/>
      <c r="Q971" s="1"/>
      <c r="R971" s="1"/>
      <c r="U971" s="125"/>
      <c r="V971" s="111"/>
      <c r="W971" s="112"/>
      <c r="X971" s="113"/>
      <c r="Z971" s="1"/>
      <c r="AA971" s="1"/>
    </row>
    <row r="972">
      <c r="D972" s="4"/>
      <c r="H972" s="1"/>
      <c r="I972" s="1"/>
      <c r="Q972" s="1"/>
      <c r="R972" s="1"/>
      <c r="U972" s="125"/>
      <c r="V972" s="111"/>
      <c r="W972" s="112"/>
      <c r="X972" s="113"/>
      <c r="Z972" s="1"/>
      <c r="AA972" s="1"/>
    </row>
    <row r="973">
      <c r="D973" s="4"/>
      <c r="H973" s="1"/>
      <c r="I973" s="1"/>
      <c r="Q973" s="1"/>
      <c r="R973" s="1"/>
      <c r="U973" s="125"/>
      <c r="V973" s="111"/>
      <c r="W973" s="112"/>
      <c r="X973" s="113"/>
      <c r="Z973" s="1"/>
      <c r="AA973" s="1"/>
    </row>
    <row r="974">
      <c r="D974" s="4"/>
      <c r="H974" s="1"/>
      <c r="I974" s="1"/>
      <c r="Q974" s="1"/>
      <c r="R974" s="1"/>
      <c r="U974" s="125"/>
      <c r="V974" s="111"/>
      <c r="W974" s="112"/>
      <c r="X974" s="113"/>
      <c r="Z974" s="1"/>
      <c r="AA974" s="1"/>
    </row>
    <row r="975">
      <c r="D975" s="4"/>
      <c r="H975" s="1"/>
      <c r="I975" s="1"/>
      <c r="Q975" s="1"/>
      <c r="R975" s="1"/>
      <c r="U975" s="125"/>
      <c r="V975" s="111"/>
      <c r="W975" s="112"/>
      <c r="X975" s="113"/>
      <c r="Z975" s="1"/>
      <c r="AA975" s="1"/>
    </row>
    <row r="976">
      <c r="D976" s="4"/>
      <c r="H976" s="1"/>
      <c r="I976" s="1"/>
      <c r="Q976" s="1"/>
      <c r="R976" s="1"/>
      <c r="U976" s="125"/>
      <c r="V976" s="111"/>
      <c r="W976" s="112"/>
      <c r="X976" s="113"/>
      <c r="Z976" s="1"/>
      <c r="AA976" s="1"/>
    </row>
    <row r="977">
      <c r="D977" s="4"/>
      <c r="H977" s="1"/>
      <c r="I977" s="1"/>
      <c r="Q977" s="1"/>
      <c r="R977" s="1"/>
      <c r="U977" s="125"/>
      <c r="V977" s="111"/>
      <c r="W977" s="112"/>
      <c r="X977" s="113"/>
      <c r="Z977" s="1"/>
      <c r="AA977" s="1"/>
    </row>
    <row r="978">
      <c r="D978" s="4"/>
      <c r="H978" s="1"/>
      <c r="I978" s="1"/>
      <c r="Q978" s="1"/>
      <c r="R978" s="1"/>
      <c r="U978" s="125"/>
      <c r="V978" s="111"/>
      <c r="W978" s="112"/>
      <c r="X978" s="113"/>
      <c r="Z978" s="1"/>
      <c r="AA978" s="1"/>
    </row>
    <row r="979">
      <c r="D979" s="4"/>
      <c r="H979" s="1"/>
      <c r="I979" s="1"/>
      <c r="Q979" s="1"/>
      <c r="R979" s="1"/>
      <c r="U979" s="125"/>
      <c r="V979" s="111"/>
      <c r="W979" s="112"/>
      <c r="X979" s="113"/>
      <c r="Z979" s="1"/>
      <c r="AA979" s="1"/>
    </row>
    <row r="980">
      <c r="D980" s="4"/>
      <c r="H980" s="1"/>
      <c r="I980" s="1"/>
      <c r="Q980" s="1"/>
      <c r="R980" s="1"/>
      <c r="U980" s="125"/>
      <c r="V980" s="111"/>
      <c r="W980" s="112"/>
      <c r="X980" s="113"/>
      <c r="Z980" s="1"/>
      <c r="AA980" s="1"/>
    </row>
    <row r="981">
      <c r="D981" s="4"/>
      <c r="H981" s="1"/>
      <c r="I981" s="1"/>
      <c r="Q981" s="1"/>
      <c r="R981" s="1"/>
      <c r="U981" s="125"/>
      <c r="V981" s="111"/>
      <c r="W981" s="112"/>
      <c r="X981" s="113"/>
      <c r="Z981" s="1"/>
      <c r="AA981" s="1"/>
    </row>
    <row r="982">
      <c r="D982" s="4"/>
      <c r="H982" s="1"/>
      <c r="I982" s="1"/>
      <c r="Q982" s="1"/>
      <c r="R982" s="1"/>
      <c r="U982" s="125"/>
      <c r="V982" s="111"/>
      <c r="W982" s="112"/>
      <c r="X982" s="113"/>
      <c r="Z982" s="1"/>
      <c r="AA982" s="1"/>
    </row>
    <row r="983">
      <c r="D983" s="4"/>
      <c r="H983" s="1"/>
      <c r="I983" s="1"/>
      <c r="Q983" s="1"/>
      <c r="R983" s="1"/>
      <c r="U983" s="125"/>
      <c r="V983" s="111"/>
      <c r="W983" s="112"/>
      <c r="X983" s="113"/>
      <c r="Z983" s="1"/>
      <c r="AA983" s="1"/>
    </row>
    <row r="984">
      <c r="D984" s="4"/>
      <c r="H984" s="1"/>
      <c r="I984" s="1"/>
      <c r="Q984" s="1"/>
      <c r="R984" s="1"/>
      <c r="U984" s="125"/>
      <c r="V984" s="111"/>
      <c r="W984" s="112"/>
      <c r="X984" s="113"/>
      <c r="Z984" s="1"/>
      <c r="AA984" s="1"/>
    </row>
    <row r="985">
      <c r="D985" s="4"/>
      <c r="H985" s="1"/>
      <c r="I985" s="1"/>
      <c r="Q985" s="1"/>
      <c r="R985" s="1"/>
      <c r="U985" s="125"/>
      <c r="V985" s="111"/>
      <c r="W985" s="112"/>
      <c r="X985" s="113"/>
      <c r="Z985" s="1"/>
      <c r="AA985" s="1"/>
    </row>
    <row r="986">
      <c r="D986" s="4"/>
      <c r="H986" s="1"/>
      <c r="I986" s="1"/>
      <c r="Q986" s="1"/>
      <c r="R986" s="1"/>
      <c r="U986" s="125"/>
      <c r="V986" s="111"/>
      <c r="W986" s="112"/>
      <c r="X986" s="113"/>
      <c r="Z986" s="1"/>
      <c r="AA986" s="1"/>
    </row>
    <row r="987">
      <c r="D987" s="4"/>
      <c r="H987" s="1"/>
      <c r="I987" s="1"/>
      <c r="Q987" s="1"/>
      <c r="R987" s="1"/>
      <c r="U987" s="125"/>
      <c r="V987" s="111"/>
      <c r="W987" s="112"/>
      <c r="X987" s="113"/>
      <c r="Z987" s="1"/>
      <c r="AA987" s="1"/>
    </row>
    <row r="988">
      <c r="D988" s="4"/>
      <c r="H988" s="1"/>
      <c r="I988" s="1"/>
      <c r="Q988" s="1"/>
      <c r="R988" s="1"/>
      <c r="U988" s="125"/>
      <c r="V988" s="111"/>
      <c r="W988" s="112"/>
      <c r="X988" s="113"/>
      <c r="Z988" s="1"/>
      <c r="AA988" s="1"/>
    </row>
    <row r="989">
      <c r="D989" s="4"/>
      <c r="H989" s="1"/>
      <c r="I989" s="1"/>
      <c r="Q989" s="1"/>
      <c r="R989" s="1"/>
      <c r="U989" s="125"/>
      <c r="V989" s="111"/>
      <c r="W989" s="112"/>
      <c r="X989" s="113"/>
      <c r="Z989" s="1"/>
      <c r="AA989" s="1"/>
    </row>
    <row r="990">
      <c r="D990" s="4"/>
      <c r="H990" s="1"/>
      <c r="I990" s="1"/>
      <c r="Q990" s="1"/>
      <c r="R990" s="1"/>
      <c r="U990" s="125"/>
      <c r="V990" s="111"/>
      <c r="W990" s="112"/>
      <c r="X990" s="113"/>
      <c r="Z990" s="1"/>
      <c r="AA990" s="1"/>
    </row>
    <row r="991">
      <c r="D991" s="4"/>
      <c r="H991" s="1"/>
      <c r="I991" s="1"/>
      <c r="Q991" s="1"/>
      <c r="R991" s="1"/>
      <c r="U991" s="125"/>
      <c r="V991" s="111"/>
      <c r="W991" s="112"/>
      <c r="X991" s="113"/>
      <c r="Z991" s="1"/>
      <c r="AA991" s="1"/>
    </row>
    <row r="992">
      <c r="D992" s="4"/>
      <c r="H992" s="1"/>
      <c r="I992" s="1"/>
      <c r="Q992" s="1"/>
      <c r="R992" s="1"/>
      <c r="U992" s="125"/>
      <c r="V992" s="111"/>
      <c r="W992" s="112"/>
      <c r="X992" s="113"/>
      <c r="Z992" s="1"/>
      <c r="AA992" s="1"/>
    </row>
    <row r="993">
      <c r="D993" s="4"/>
      <c r="H993" s="1"/>
      <c r="I993" s="1"/>
      <c r="Q993" s="1"/>
      <c r="R993" s="1"/>
      <c r="U993" s="125"/>
      <c r="V993" s="111"/>
      <c r="W993" s="112"/>
      <c r="X993" s="113"/>
      <c r="Z993" s="1"/>
      <c r="AA993" s="1"/>
    </row>
    <row r="994">
      <c r="D994" s="4"/>
      <c r="H994" s="1"/>
      <c r="I994" s="1"/>
      <c r="Q994" s="1"/>
      <c r="R994" s="1"/>
      <c r="U994" s="125"/>
      <c r="V994" s="111"/>
      <c r="W994" s="112"/>
      <c r="X994" s="113"/>
      <c r="Z994" s="1"/>
      <c r="AA994" s="1"/>
    </row>
    <row r="995">
      <c r="D995" s="4"/>
      <c r="H995" s="1"/>
      <c r="I995" s="1"/>
      <c r="Q995" s="1"/>
      <c r="R995" s="1"/>
      <c r="U995" s="125"/>
      <c r="V995" s="111"/>
      <c r="W995" s="112"/>
      <c r="X995" s="113"/>
      <c r="Z995" s="1"/>
      <c r="AA995" s="1"/>
    </row>
    <row r="996">
      <c r="D996" s="4"/>
      <c r="H996" s="1"/>
      <c r="I996" s="1"/>
      <c r="Q996" s="1"/>
      <c r="R996" s="1"/>
      <c r="U996" s="125"/>
      <c r="V996" s="111"/>
      <c r="W996" s="112"/>
      <c r="X996" s="113"/>
      <c r="Z996" s="1"/>
      <c r="AA996" s="1"/>
    </row>
    <row r="997">
      <c r="D997" s="4"/>
      <c r="H997" s="1"/>
      <c r="I997" s="1"/>
      <c r="Q997" s="1"/>
      <c r="R997" s="1"/>
      <c r="U997" s="125"/>
      <c r="V997" s="111"/>
      <c r="W997" s="112"/>
      <c r="X997" s="113"/>
      <c r="Z997" s="1"/>
      <c r="AA997" s="1"/>
    </row>
    <row r="998">
      <c r="D998" s="4"/>
      <c r="H998" s="1"/>
      <c r="I998" s="1"/>
      <c r="Q998" s="1"/>
      <c r="R998" s="1"/>
      <c r="U998" s="125"/>
      <c r="V998" s="111"/>
      <c r="W998" s="112"/>
      <c r="X998" s="113"/>
      <c r="Z998" s="1"/>
      <c r="AA998" s="1"/>
    </row>
    <row r="999">
      <c r="D999" s="4"/>
      <c r="H999" s="1"/>
      <c r="I999" s="1"/>
      <c r="Q999" s="1"/>
      <c r="R999" s="1"/>
      <c r="U999" s="125"/>
      <c r="V999" s="111"/>
      <c r="W999" s="112"/>
      <c r="X999" s="113"/>
      <c r="Z999" s="1"/>
      <c r="AA999" s="1"/>
    </row>
    <row r="1000">
      <c r="D1000" s="4"/>
      <c r="H1000" s="1"/>
      <c r="I1000" s="1"/>
      <c r="Q1000" s="1"/>
      <c r="R1000" s="1"/>
      <c r="U1000" s="125"/>
      <c r="V1000" s="111"/>
      <c r="W1000" s="112"/>
      <c r="X1000" s="113"/>
      <c r="Z1000" s="1"/>
      <c r="AA1000" s="1"/>
    </row>
    <row r="1001">
      <c r="D1001" s="4"/>
      <c r="H1001" s="1"/>
      <c r="I1001" s="1"/>
      <c r="Q1001" s="1"/>
      <c r="R1001" s="1"/>
      <c r="U1001" s="125"/>
      <c r="V1001" s="111"/>
      <c r="W1001" s="112"/>
      <c r="X1001" s="113"/>
      <c r="Z1001" s="1"/>
      <c r="AA1001" s="1"/>
    </row>
    <row r="1002">
      <c r="D1002" s="4"/>
      <c r="H1002" s="1"/>
      <c r="I1002" s="1"/>
      <c r="Q1002" s="1"/>
      <c r="R1002" s="1"/>
      <c r="U1002" s="125"/>
      <c r="V1002" s="111"/>
      <c r="W1002" s="112"/>
      <c r="X1002" s="113"/>
      <c r="Z1002" s="1"/>
      <c r="AA1002" s="1"/>
    </row>
    <row r="1003">
      <c r="D1003" s="4"/>
      <c r="H1003" s="1"/>
      <c r="I1003" s="1"/>
      <c r="Q1003" s="1"/>
      <c r="R1003" s="1"/>
      <c r="U1003" s="125"/>
      <c r="V1003" s="111"/>
      <c r="W1003" s="112"/>
      <c r="X1003" s="113"/>
      <c r="Z1003" s="1"/>
      <c r="AA1003" s="1"/>
    </row>
    <row r="1004">
      <c r="D1004" s="4"/>
      <c r="H1004" s="1"/>
      <c r="I1004" s="1"/>
      <c r="Q1004" s="1"/>
      <c r="R1004" s="1"/>
      <c r="U1004" s="125"/>
      <c r="V1004" s="111"/>
      <c r="W1004" s="112"/>
      <c r="X1004" s="113"/>
      <c r="Z1004" s="1"/>
      <c r="AA1004" s="1"/>
    </row>
    <row r="1005">
      <c r="D1005" s="4"/>
      <c r="H1005" s="1"/>
      <c r="I1005" s="1"/>
      <c r="Q1005" s="1"/>
      <c r="R1005" s="1"/>
      <c r="U1005" s="125"/>
      <c r="V1005" s="111"/>
      <c r="W1005" s="112"/>
      <c r="X1005" s="113"/>
      <c r="Z1005" s="1"/>
      <c r="AA1005" s="1"/>
    </row>
    <row r="1006">
      <c r="D1006" s="4"/>
      <c r="H1006" s="1"/>
      <c r="I1006" s="1"/>
      <c r="Q1006" s="1"/>
      <c r="R1006" s="1"/>
      <c r="U1006" s="125"/>
      <c r="V1006" s="111"/>
      <c r="W1006" s="112"/>
      <c r="X1006" s="113"/>
      <c r="Z1006" s="1"/>
      <c r="AA1006" s="1"/>
    </row>
    <row r="1007">
      <c r="D1007" s="4"/>
      <c r="H1007" s="1"/>
      <c r="I1007" s="1"/>
      <c r="Q1007" s="1"/>
      <c r="R1007" s="1"/>
      <c r="U1007" s="125"/>
      <c r="V1007" s="111"/>
      <c r="W1007" s="112"/>
      <c r="X1007" s="113"/>
      <c r="Z1007" s="1"/>
      <c r="AA1007" s="1"/>
    </row>
    <row r="1008">
      <c r="D1008" s="4"/>
      <c r="H1008" s="1"/>
      <c r="I1008" s="1"/>
      <c r="Q1008" s="1"/>
      <c r="R1008" s="1"/>
      <c r="U1008" s="125"/>
      <c r="V1008" s="111"/>
      <c r="W1008" s="112"/>
      <c r="X1008" s="113"/>
      <c r="Z1008" s="1"/>
      <c r="AA1008" s="1"/>
    </row>
    <row r="1009">
      <c r="D1009" s="4"/>
      <c r="H1009" s="1"/>
      <c r="I1009" s="1"/>
      <c r="Q1009" s="1"/>
      <c r="R1009" s="1"/>
      <c r="U1009" s="125"/>
      <c r="V1009" s="111"/>
      <c r="W1009" s="112"/>
      <c r="X1009" s="113"/>
      <c r="Z1009" s="1"/>
      <c r="AA1009" s="1"/>
    </row>
    <row r="1010">
      <c r="D1010" s="4"/>
      <c r="H1010" s="1"/>
      <c r="I1010" s="1"/>
      <c r="Q1010" s="1"/>
      <c r="R1010" s="1"/>
      <c r="U1010" s="125"/>
      <c r="V1010" s="111"/>
      <c r="W1010" s="112"/>
      <c r="X1010" s="113"/>
      <c r="Z1010" s="1"/>
      <c r="AA1010" s="1"/>
    </row>
    <row r="1011">
      <c r="D1011" s="4"/>
      <c r="H1011" s="1"/>
      <c r="I1011" s="1"/>
      <c r="Q1011" s="1"/>
      <c r="R1011" s="1"/>
      <c r="U1011" s="125"/>
      <c r="V1011" s="111"/>
      <c r="W1011" s="112"/>
      <c r="X1011" s="113"/>
      <c r="Z1011" s="1"/>
      <c r="AA1011" s="1"/>
    </row>
    <row r="1012">
      <c r="D1012" s="4"/>
      <c r="H1012" s="1"/>
      <c r="I1012" s="1"/>
      <c r="Q1012" s="1"/>
      <c r="R1012" s="1"/>
      <c r="U1012" s="125"/>
      <c r="V1012" s="111"/>
      <c r="W1012" s="112"/>
      <c r="X1012" s="113"/>
      <c r="Z1012" s="1"/>
      <c r="AA1012" s="1"/>
    </row>
    <row r="1013">
      <c r="D1013" s="4"/>
      <c r="H1013" s="1"/>
      <c r="I1013" s="1"/>
      <c r="Q1013" s="1"/>
      <c r="R1013" s="1"/>
      <c r="U1013" s="125"/>
      <c r="V1013" s="111"/>
      <c r="W1013" s="112"/>
      <c r="X1013" s="113"/>
      <c r="Z1013" s="1"/>
      <c r="AA1013" s="1"/>
    </row>
    <row r="1014">
      <c r="D1014" s="4"/>
      <c r="H1014" s="1"/>
      <c r="I1014" s="1"/>
      <c r="Q1014" s="1"/>
      <c r="R1014" s="1"/>
      <c r="U1014" s="125"/>
      <c r="V1014" s="111"/>
      <c r="W1014" s="112"/>
      <c r="X1014" s="113"/>
      <c r="Z1014" s="1"/>
      <c r="AA1014" s="1"/>
    </row>
    <row r="1015">
      <c r="D1015" s="4"/>
      <c r="H1015" s="1"/>
      <c r="I1015" s="1"/>
      <c r="Q1015" s="1"/>
      <c r="R1015" s="1"/>
      <c r="U1015" s="125"/>
      <c r="V1015" s="111"/>
      <c r="W1015" s="112"/>
      <c r="X1015" s="113"/>
      <c r="Z1015" s="1"/>
      <c r="AA1015" s="1"/>
    </row>
    <row r="1016">
      <c r="D1016" s="4"/>
      <c r="H1016" s="1"/>
      <c r="I1016" s="1"/>
      <c r="Q1016" s="1"/>
      <c r="R1016" s="1"/>
      <c r="U1016" s="125"/>
      <c r="V1016" s="111"/>
      <c r="W1016" s="112"/>
      <c r="X1016" s="113"/>
      <c r="Z1016" s="1"/>
      <c r="AA1016" s="1"/>
    </row>
    <row r="1017">
      <c r="D1017" s="4"/>
      <c r="H1017" s="1"/>
      <c r="I1017" s="1"/>
      <c r="Q1017" s="1"/>
      <c r="R1017" s="1"/>
      <c r="U1017" s="125"/>
      <c r="V1017" s="111"/>
      <c r="W1017" s="112"/>
      <c r="X1017" s="113"/>
      <c r="Z1017" s="1"/>
      <c r="AA1017" s="1"/>
    </row>
    <row r="1018">
      <c r="D1018" s="4"/>
      <c r="H1018" s="1"/>
      <c r="I1018" s="1"/>
      <c r="Q1018" s="1"/>
      <c r="R1018" s="1"/>
      <c r="U1018" s="125"/>
      <c r="V1018" s="111"/>
      <c r="W1018" s="112"/>
      <c r="X1018" s="113"/>
      <c r="Z1018" s="1"/>
      <c r="AA1018" s="1"/>
    </row>
    <row r="1019">
      <c r="D1019" s="4"/>
      <c r="H1019" s="1"/>
      <c r="I1019" s="1"/>
      <c r="Q1019" s="1"/>
      <c r="R1019" s="1"/>
      <c r="U1019" s="125"/>
      <c r="V1019" s="111"/>
      <c r="W1019" s="112"/>
      <c r="X1019" s="113"/>
      <c r="Z1019" s="1"/>
      <c r="AA1019" s="1"/>
    </row>
    <row r="1020">
      <c r="D1020" s="4"/>
      <c r="H1020" s="1"/>
      <c r="I1020" s="1"/>
      <c r="Q1020" s="1"/>
      <c r="R1020" s="1"/>
      <c r="U1020" s="125"/>
      <c r="V1020" s="111"/>
      <c r="W1020" s="112"/>
      <c r="X1020" s="113"/>
      <c r="Z1020" s="1"/>
      <c r="AA1020" s="1"/>
    </row>
    <row r="1021">
      <c r="D1021" s="4"/>
      <c r="H1021" s="1"/>
      <c r="I1021" s="1"/>
      <c r="Q1021" s="1"/>
      <c r="R1021" s="1"/>
      <c r="U1021" s="125"/>
      <c r="V1021" s="111"/>
      <c r="W1021" s="112"/>
      <c r="X1021" s="113"/>
      <c r="Z1021" s="1"/>
      <c r="AA1021" s="1"/>
    </row>
    <row r="1022">
      <c r="D1022" s="4"/>
      <c r="H1022" s="1"/>
      <c r="I1022" s="1"/>
      <c r="Q1022" s="1"/>
      <c r="R1022" s="1"/>
      <c r="U1022" s="125"/>
      <c r="V1022" s="111"/>
      <c r="W1022" s="112"/>
      <c r="X1022" s="113"/>
      <c r="Z1022" s="1"/>
      <c r="AA1022" s="1"/>
    </row>
    <row r="1023">
      <c r="D1023" s="4"/>
      <c r="H1023" s="1"/>
      <c r="I1023" s="1"/>
      <c r="Q1023" s="1"/>
      <c r="R1023" s="1"/>
      <c r="U1023" s="125"/>
      <c r="V1023" s="111"/>
      <c r="W1023" s="112"/>
      <c r="X1023" s="113"/>
      <c r="Z1023" s="1"/>
      <c r="AA1023" s="1"/>
    </row>
    <row r="1024">
      <c r="D1024" s="4"/>
      <c r="H1024" s="1"/>
      <c r="I1024" s="1"/>
      <c r="Q1024" s="1"/>
      <c r="R1024" s="1"/>
      <c r="U1024" s="125"/>
      <c r="V1024" s="111"/>
      <c r="W1024" s="112"/>
      <c r="X1024" s="113"/>
      <c r="Z1024" s="1"/>
      <c r="AA1024" s="1"/>
    </row>
    <row r="1025">
      <c r="D1025" s="4"/>
      <c r="H1025" s="1"/>
      <c r="I1025" s="1"/>
      <c r="Q1025" s="1"/>
      <c r="R1025" s="1"/>
      <c r="U1025" s="125"/>
      <c r="V1025" s="111"/>
      <c r="W1025" s="112"/>
      <c r="X1025" s="113"/>
      <c r="Z1025" s="1"/>
      <c r="AA1025" s="1"/>
    </row>
    <row r="1026">
      <c r="D1026" s="4"/>
      <c r="H1026" s="1"/>
      <c r="I1026" s="1"/>
      <c r="Q1026" s="1"/>
      <c r="R1026" s="1"/>
      <c r="U1026" s="125"/>
      <c r="V1026" s="111"/>
      <c r="W1026" s="112"/>
      <c r="X1026" s="113"/>
      <c r="Z1026" s="1"/>
      <c r="AA1026" s="1"/>
    </row>
    <row r="1027">
      <c r="D1027" s="4"/>
      <c r="H1027" s="1"/>
      <c r="I1027" s="1"/>
      <c r="Q1027" s="1"/>
      <c r="R1027" s="1"/>
      <c r="U1027" s="125"/>
      <c r="V1027" s="111"/>
      <c r="W1027" s="112"/>
      <c r="X1027" s="113"/>
      <c r="Z1027" s="1"/>
      <c r="AA1027" s="1"/>
    </row>
    <row r="1028">
      <c r="D1028" s="4"/>
      <c r="H1028" s="1"/>
      <c r="I1028" s="1"/>
      <c r="Q1028" s="1"/>
      <c r="R1028" s="1"/>
      <c r="U1028" s="125"/>
      <c r="V1028" s="111"/>
      <c r="W1028" s="112"/>
      <c r="X1028" s="113"/>
      <c r="Z1028" s="1"/>
      <c r="AA1028" s="1"/>
    </row>
    <row r="1029">
      <c r="D1029" s="4"/>
      <c r="H1029" s="1"/>
      <c r="I1029" s="1"/>
      <c r="Q1029" s="1"/>
      <c r="R1029" s="1"/>
      <c r="U1029" s="125"/>
      <c r="V1029" s="111"/>
      <c r="W1029" s="112"/>
      <c r="X1029" s="113"/>
      <c r="Z1029" s="1"/>
      <c r="AA1029" s="1"/>
    </row>
    <row r="1030">
      <c r="D1030" s="4"/>
      <c r="H1030" s="1"/>
      <c r="I1030" s="1"/>
      <c r="Q1030" s="1"/>
      <c r="R1030" s="1"/>
      <c r="U1030" s="125"/>
      <c r="V1030" s="111"/>
      <c r="W1030" s="112"/>
      <c r="X1030" s="113"/>
      <c r="Z1030" s="1"/>
      <c r="AA1030" s="1"/>
    </row>
    <row r="1031">
      <c r="D1031" s="4"/>
      <c r="H1031" s="1"/>
      <c r="I1031" s="1"/>
      <c r="Q1031" s="1"/>
      <c r="R1031" s="1"/>
      <c r="U1031" s="125"/>
      <c r="V1031" s="111"/>
      <c r="W1031" s="112"/>
      <c r="X1031" s="113"/>
      <c r="Z1031" s="1"/>
      <c r="AA1031" s="1"/>
    </row>
    <row r="1032">
      <c r="D1032" s="4"/>
      <c r="H1032" s="1"/>
      <c r="I1032" s="1"/>
      <c r="Q1032" s="1"/>
      <c r="R1032" s="1"/>
      <c r="U1032" s="125"/>
      <c r="V1032" s="111"/>
      <c r="W1032" s="112"/>
      <c r="X1032" s="113"/>
      <c r="Z1032" s="1"/>
      <c r="AA1032" s="1"/>
    </row>
    <row r="1033">
      <c r="D1033" s="4"/>
      <c r="H1033" s="1"/>
      <c r="I1033" s="1"/>
      <c r="Q1033" s="1"/>
      <c r="R1033" s="1"/>
      <c r="U1033" s="125"/>
      <c r="V1033" s="111"/>
      <c r="W1033" s="112"/>
      <c r="X1033" s="113"/>
      <c r="Z1033" s="1"/>
      <c r="AA1033" s="1"/>
    </row>
    <row r="1034">
      <c r="D1034" s="4"/>
      <c r="H1034" s="1"/>
      <c r="I1034" s="1"/>
      <c r="Q1034" s="1"/>
      <c r="R1034" s="1"/>
      <c r="U1034" s="125"/>
      <c r="V1034" s="111"/>
      <c r="W1034" s="112"/>
      <c r="X1034" s="113"/>
      <c r="Z1034" s="1"/>
      <c r="AA1034" s="1"/>
    </row>
    <row r="1035">
      <c r="D1035" s="4"/>
      <c r="H1035" s="1"/>
      <c r="I1035" s="1"/>
      <c r="Q1035" s="1"/>
      <c r="R1035" s="1"/>
      <c r="U1035" s="125"/>
      <c r="V1035" s="111"/>
      <c r="W1035" s="112"/>
      <c r="X1035" s="113"/>
      <c r="Z1035" s="1"/>
      <c r="AA1035" s="1"/>
    </row>
    <row r="1036">
      <c r="D1036" s="4"/>
      <c r="H1036" s="1"/>
      <c r="I1036" s="1"/>
      <c r="Q1036" s="1"/>
      <c r="R1036" s="1"/>
      <c r="U1036" s="125"/>
      <c r="V1036" s="111"/>
      <c r="W1036" s="112"/>
      <c r="X1036" s="113"/>
      <c r="Z1036" s="1"/>
      <c r="AA1036" s="1"/>
    </row>
    <row r="1037">
      <c r="D1037" s="4"/>
      <c r="H1037" s="1"/>
      <c r="I1037" s="1"/>
      <c r="Q1037" s="1"/>
      <c r="R1037" s="1"/>
      <c r="U1037" s="125"/>
      <c r="V1037" s="111"/>
      <c r="W1037" s="112"/>
      <c r="X1037" s="113"/>
      <c r="Z1037" s="1"/>
      <c r="AA1037" s="1"/>
    </row>
    <row r="1038">
      <c r="D1038" s="4"/>
      <c r="H1038" s="1"/>
      <c r="I1038" s="1"/>
      <c r="Q1038" s="1"/>
      <c r="R1038" s="1"/>
      <c r="U1038" s="125"/>
      <c r="V1038" s="111"/>
      <c r="W1038" s="112"/>
      <c r="X1038" s="113"/>
      <c r="Z1038" s="1"/>
      <c r="AA1038" s="1"/>
    </row>
    <row r="1039">
      <c r="D1039" s="4"/>
      <c r="H1039" s="1"/>
      <c r="I1039" s="1"/>
      <c r="Q1039" s="1"/>
      <c r="R1039" s="1"/>
      <c r="U1039" s="125"/>
      <c r="V1039" s="111"/>
      <c r="W1039" s="112"/>
      <c r="X1039" s="113"/>
      <c r="Z1039" s="1"/>
      <c r="AA1039" s="1"/>
    </row>
    <row r="1040">
      <c r="D1040" s="4"/>
      <c r="H1040" s="1"/>
      <c r="I1040" s="1"/>
      <c r="Q1040" s="1"/>
      <c r="R1040" s="1"/>
      <c r="U1040" s="125"/>
      <c r="V1040" s="111"/>
      <c r="W1040" s="112"/>
      <c r="X1040" s="113"/>
      <c r="Z1040" s="1"/>
      <c r="AA1040" s="1"/>
    </row>
    <row r="1041">
      <c r="D1041" s="4"/>
      <c r="H1041" s="1"/>
      <c r="I1041" s="1"/>
      <c r="Q1041" s="1"/>
      <c r="R1041" s="1"/>
      <c r="U1041" s="125"/>
      <c r="V1041" s="111"/>
      <c r="W1041" s="112"/>
      <c r="X1041" s="113"/>
      <c r="Z1041" s="1"/>
      <c r="AA1041" s="1"/>
    </row>
    <row r="1042">
      <c r="D1042" s="4"/>
      <c r="H1042" s="1"/>
      <c r="I1042" s="1"/>
      <c r="Q1042" s="1"/>
      <c r="R1042" s="1"/>
      <c r="U1042" s="125"/>
      <c r="V1042" s="111"/>
      <c r="W1042" s="112"/>
      <c r="X1042" s="113"/>
      <c r="Z1042" s="1"/>
      <c r="AA1042" s="1"/>
    </row>
    <row r="1043">
      <c r="D1043" s="4"/>
      <c r="H1043" s="1"/>
      <c r="I1043" s="1"/>
      <c r="Q1043" s="1"/>
      <c r="R1043" s="1"/>
      <c r="U1043" s="125"/>
      <c r="V1043" s="111"/>
      <c r="W1043" s="112"/>
      <c r="X1043" s="113"/>
      <c r="Z1043" s="1"/>
      <c r="AA1043" s="1"/>
    </row>
    <row r="1044">
      <c r="D1044" s="4"/>
      <c r="H1044" s="1"/>
      <c r="I1044" s="1"/>
      <c r="Q1044" s="1"/>
      <c r="R1044" s="1"/>
      <c r="U1044" s="125"/>
      <c r="V1044" s="111"/>
      <c r="W1044" s="112"/>
      <c r="X1044" s="113"/>
      <c r="Z1044" s="1"/>
      <c r="AA1044" s="1"/>
    </row>
    <row r="1045">
      <c r="D1045" s="4"/>
      <c r="H1045" s="1"/>
      <c r="I1045" s="1"/>
      <c r="Q1045" s="1"/>
      <c r="R1045" s="1"/>
      <c r="U1045" s="125"/>
      <c r="V1045" s="111"/>
      <c r="W1045" s="112"/>
      <c r="X1045" s="113"/>
      <c r="Z1045" s="1"/>
      <c r="AA1045" s="1"/>
    </row>
    <row r="1046">
      <c r="D1046" s="4"/>
      <c r="H1046" s="1"/>
      <c r="I1046" s="1"/>
      <c r="Q1046" s="1"/>
      <c r="R1046" s="1"/>
      <c r="U1046" s="125"/>
      <c r="V1046" s="111"/>
      <c r="W1046" s="112"/>
      <c r="X1046" s="113"/>
      <c r="Z1046" s="1"/>
      <c r="AA1046" s="1"/>
    </row>
    <row r="1047">
      <c r="D1047" s="4"/>
      <c r="H1047" s="1"/>
      <c r="I1047" s="1"/>
      <c r="Q1047" s="1"/>
      <c r="R1047" s="1"/>
      <c r="U1047" s="125"/>
      <c r="V1047" s="111"/>
      <c r="W1047" s="112"/>
      <c r="X1047" s="113"/>
      <c r="Z1047" s="1"/>
      <c r="AA1047" s="1"/>
    </row>
    <row r="1048">
      <c r="D1048" s="4"/>
      <c r="H1048" s="1"/>
      <c r="I1048" s="1"/>
      <c r="Q1048" s="1"/>
      <c r="R1048" s="1"/>
      <c r="U1048" s="125"/>
      <c r="V1048" s="111"/>
      <c r="W1048" s="112"/>
      <c r="X1048" s="113"/>
      <c r="Z1048" s="1"/>
      <c r="AA1048" s="1"/>
    </row>
    <row r="1049">
      <c r="D1049" s="4"/>
      <c r="H1049" s="1"/>
      <c r="I1049" s="1"/>
      <c r="Q1049" s="1"/>
      <c r="R1049" s="1"/>
      <c r="U1049" s="125"/>
      <c r="V1049" s="111"/>
      <c r="W1049" s="112"/>
      <c r="X1049" s="113"/>
      <c r="Z1049" s="1"/>
      <c r="AA1049" s="1"/>
    </row>
    <row r="1050">
      <c r="D1050" s="4"/>
      <c r="H1050" s="1"/>
      <c r="I1050" s="1"/>
      <c r="Q1050" s="1"/>
      <c r="R1050" s="1"/>
      <c r="U1050" s="125"/>
      <c r="V1050" s="111"/>
      <c r="W1050" s="112"/>
      <c r="X1050" s="113"/>
      <c r="Z1050" s="1"/>
      <c r="AA1050" s="1"/>
    </row>
    <row r="1051">
      <c r="D1051" s="4"/>
      <c r="H1051" s="1"/>
      <c r="I1051" s="1"/>
      <c r="Q1051" s="1"/>
      <c r="R1051" s="1"/>
      <c r="U1051" s="125"/>
      <c r="V1051" s="111"/>
      <c r="W1051" s="112"/>
      <c r="X1051" s="113"/>
      <c r="Z1051" s="1"/>
      <c r="AA1051" s="1"/>
    </row>
    <row r="1052">
      <c r="D1052" s="4"/>
      <c r="H1052" s="1"/>
      <c r="I1052" s="1"/>
      <c r="Q1052" s="1"/>
      <c r="R1052" s="1"/>
      <c r="U1052" s="125"/>
      <c r="V1052" s="111"/>
      <c r="W1052" s="112"/>
      <c r="X1052" s="113"/>
      <c r="Z1052" s="1"/>
      <c r="AA1052" s="1"/>
    </row>
    <row r="1053">
      <c r="D1053" s="4"/>
      <c r="H1053" s="1"/>
      <c r="I1053" s="1"/>
      <c r="Q1053" s="1"/>
      <c r="R1053" s="1"/>
      <c r="U1053" s="125"/>
      <c r="V1053" s="111"/>
      <c r="W1053" s="112"/>
      <c r="X1053" s="113"/>
      <c r="Z1053" s="1"/>
      <c r="AA1053" s="1"/>
    </row>
    <row r="1054">
      <c r="D1054" s="4"/>
      <c r="H1054" s="1"/>
      <c r="I1054" s="1"/>
      <c r="Q1054" s="1"/>
      <c r="R1054" s="1"/>
      <c r="U1054" s="125"/>
      <c r="V1054" s="111"/>
      <c r="W1054" s="112"/>
      <c r="X1054" s="113"/>
      <c r="Z1054" s="1"/>
      <c r="AA1054" s="1"/>
    </row>
    <row r="1055">
      <c r="D1055" s="4"/>
      <c r="H1055" s="1"/>
      <c r="I1055" s="1"/>
      <c r="Q1055" s="1"/>
      <c r="R1055" s="1"/>
      <c r="U1055" s="125"/>
      <c r="V1055" s="111"/>
      <c r="W1055" s="112"/>
      <c r="X1055" s="113"/>
      <c r="Z1055" s="1"/>
      <c r="AA1055" s="1"/>
    </row>
    <row r="1056">
      <c r="D1056" s="4"/>
      <c r="H1056" s="1"/>
      <c r="I1056" s="1"/>
      <c r="Q1056" s="1"/>
      <c r="R1056" s="1"/>
      <c r="U1056" s="125"/>
      <c r="V1056" s="111"/>
      <c r="W1056" s="112"/>
      <c r="X1056" s="113"/>
      <c r="Z1056" s="1"/>
      <c r="AA1056" s="1"/>
    </row>
    <row r="1057">
      <c r="D1057" s="4"/>
      <c r="H1057" s="1"/>
      <c r="I1057" s="1"/>
      <c r="Q1057" s="1"/>
      <c r="R1057" s="1"/>
      <c r="U1057" s="125"/>
      <c r="V1057" s="111"/>
      <c r="W1057" s="112"/>
      <c r="X1057" s="113"/>
      <c r="Z1057" s="1"/>
      <c r="AA1057" s="1"/>
    </row>
    <row r="1058">
      <c r="D1058" s="4"/>
      <c r="H1058" s="1"/>
      <c r="I1058" s="1"/>
      <c r="Q1058" s="1"/>
      <c r="R1058" s="1"/>
      <c r="U1058" s="125"/>
      <c r="V1058" s="111"/>
      <c r="W1058" s="112"/>
      <c r="X1058" s="113"/>
      <c r="Z1058" s="1"/>
      <c r="AA1058" s="1"/>
    </row>
    <row r="1059">
      <c r="D1059" s="4"/>
      <c r="H1059" s="1"/>
      <c r="I1059" s="1"/>
      <c r="Q1059" s="1"/>
      <c r="R1059" s="1"/>
      <c r="U1059" s="125"/>
      <c r="V1059" s="111"/>
      <c r="W1059" s="112"/>
      <c r="X1059" s="113"/>
      <c r="Z1059" s="1"/>
      <c r="AA1059" s="1"/>
    </row>
    <row r="1060">
      <c r="D1060" s="4"/>
      <c r="H1060" s="1"/>
      <c r="I1060" s="1"/>
      <c r="Q1060" s="1"/>
      <c r="R1060" s="1"/>
      <c r="U1060" s="125"/>
      <c r="V1060" s="111"/>
      <c r="W1060" s="112"/>
      <c r="X1060" s="113"/>
      <c r="Z1060" s="1"/>
      <c r="AA1060" s="1"/>
    </row>
    <row r="1061">
      <c r="D1061" s="4"/>
      <c r="H1061" s="1"/>
      <c r="I1061" s="1"/>
      <c r="Q1061" s="1"/>
      <c r="R1061" s="1"/>
      <c r="U1061" s="125"/>
      <c r="V1061" s="111"/>
      <c r="W1061" s="112"/>
      <c r="X1061" s="113"/>
      <c r="Z1061" s="1"/>
      <c r="AA1061" s="1"/>
    </row>
    <row r="1062">
      <c r="D1062" s="4"/>
      <c r="H1062" s="1"/>
      <c r="I1062" s="1"/>
      <c r="Q1062" s="1"/>
      <c r="R1062" s="1"/>
      <c r="U1062" s="125"/>
      <c r="V1062" s="111"/>
      <c r="W1062" s="112"/>
      <c r="X1062" s="113"/>
      <c r="Z1062" s="1"/>
      <c r="AA1062" s="1"/>
    </row>
    <row r="1063">
      <c r="D1063" s="4"/>
      <c r="H1063" s="1"/>
      <c r="I1063" s="1"/>
      <c r="Q1063" s="1"/>
      <c r="R1063" s="1"/>
      <c r="U1063" s="125"/>
      <c r="V1063" s="111"/>
      <c r="W1063" s="112"/>
      <c r="X1063" s="113"/>
      <c r="Z1063" s="1"/>
      <c r="AA1063" s="1"/>
    </row>
    <row r="1064">
      <c r="D1064" s="4"/>
      <c r="H1064" s="1"/>
      <c r="I1064" s="1"/>
      <c r="Q1064" s="1"/>
      <c r="R1064" s="1"/>
      <c r="U1064" s="125"/>
      <c r="V1064" s="111"/>
      <c r="W1064" s="112"/>
      <c r="X1064" s="113"/>
      <c r="Z1064" s="1"/>
      <c r="AA1064" s="1"/>
    </row>
    <row r="1065">
      <c r="D1065" s="4"/>
      <c r="H1065" s="1"/>
      <c r="I1065" s="1"/>
      <c r="Q1065" s="1"/>
      <c r="R1065" s="1"/>
      <c r="U1065" s="125"/>
      <c r="V1065" s="111"/>
      <c r="W1065" s="112"/>
      <c r="X1065" s="113"/>
      <c r="Z1065" s="1"/>
      <c r="AA1065" s="1"/>
    </row>
    <row r="1066">
      <c r="D1066" s="4"/>
      <c r="H1066" s="1"/>
      <c r="I1066" s="1"/>
      <c r="Q1066" s="1"/>
      <c r="R1066" s="1"/>
      <c r="U1066" s="125"/>
      <c r="V1066" s="111"/>
      <c r="W1066" s="112"/>
      <c r="X1066" s="113"/>
      <c r="Z1066" s="1"/>
      <c r="AA1066" s="1"/>
    </row>
    <row r="1067">
      <c r="D1067" s="4"/>
      <c r="H1067" s="1"/>
      <c r="I1067" s="1"/>
      <c r="Q1067" s="1"/>
      <c r="R1067" s="1"/>
      <c r="U1067" s="125"/>
      <c r="V1067" s="111"/>
      <c r="W1067" s="112"/>
      <c r="X1067" s="113"/>
      <c r="Z1067" s="1"/>
      <c r="AA1067" s="1"/>
    </row>
    <row r="1068">
      <c r="D1068" s="4"/>
      <c r="H1068" s="1"/>
      <c r="I1068" s="1"/>
      <c r="Q1068" s="1"/>
      <c r="R1068" s="1"/>
      <c r="U1068" s="125"/>
      <c r="V1068" s="111"/>
      <c r="W1068" s="112"/>
      <c r="X1068" s="113"/>
      <c r="Z1068" s="1"/>
      <c r="AA1068" s="1"/>
    </row>
    <row r="1069">
      <c r="D1069" s="4"/>
      <c r="H1069" s="1"/>
      <c r="I1069" s="1"/>
      <c r="Q1069" s="1"/>
      <c r="R1069" s="1"/>
      <c r="U1069" s="125"/>
      <c r="V1069" s="111"/>
      <c r="W1069" s="112"/>
      <c r="X1069" s="113"/>
      <c r="Z1069" s="1"/>
      <c r="AA1069" s="1"/>
    </row>
    <row r="1070">
      <c r="D1070" s="4"/>
      <c r="H1070" s="1"/>
      <c r="I1070" s="1"/>
      <c r="Q1070" s="1"/>
      <c r="R1070" s="1"/>
      <c r="U1070" s="125"/>
      <c r="V1070" s="111"/>
      <c r="W1070" s="112"/>
      <c r="X1070" s="113"/>
      <c r="Z1070" s="1"/>
      <c r="AA1070" s="1"/>
    </row>
    <row r="1071">
      <c r="D1071" s="4"/>
      <c r="H1071" s="1"/>
      <c r="I1071" s="1"/>
      <c r="Q1071" s="1"/>
      <c r="R1071" s="1"/>
      <c r="U1071" s="125"/>
      <c r="V1071" s="111"/>
      <c r="W1071" s="112"/>
      <c r="X1071" s="113"/>
      <c r="Z1071" s="1"/>
      <c r="AA1071" s="1"/>
    </row>
    <row r="1072">
      <c r="D1072" s="4"/>
      <c r="H1072" s="1"/>
      <c r="I1072" s="1"/>
      <c r="Q1072" s="1"/>
      <c r="R1072" s="1"/>
      <c r="U1072" s="125"/>
      <c r="V1072" s="111"/>
      <c r="W1072" s="112"/>
      <c r="X1072" s="113"/>
      <c r="Z1072" s="1"/>
      <c r="AA1072" s="1"/>
    </row>
    <row r="1073">
      <c r="D1073" s="4"/>
      <c r="H1073" s="1"/>
      <c r="I1073" s="1"/>
      <c r="Q1073" s="1"/>
      <c r="R1073" s="1"/>
      <c r="U1073" s="125"/>
      <c r="V1073" s="111"/>
      <c r="W1073" s="112"/>
      <c r="X1073" s="113"/>
      <c r="Z1073" s="1"/>
      <c r="AA1073" s="1"/>
    </row>
    <row r="1074">
      <c r="D1074" s="4"/>
      <c r="H1074" s="1"/>
      <c r="I1074" s="1"/>
      <c r="Q1074" s="1"/>
      <c r="R1074" s="1"/>
      <c r="U1074" s="125"/>
      <c r="V1074" s="111"/>
      <c r="W1074" s="112"/>
      <c r="X1074" s="113"/>
      <c r="Z1074" s="1"/>
      <c r="AA1074" s="1"/>
    </row>
    <row r="1075">
      <c r="D1075" s="4"/>
      <c r="H1075" s="1"/>
      <c r="I1075" s="1"/>
      <c r="Q1075" s="1"/>
      <c r="R1075" s="1"/>
      <c r="U1075" s="125"/>
      <c r="V1075" s="111"/>
      <c r="W1075" s="112"/>
      <c r="X1075" s="113"/>
      <c r="Z1075" s="1"/>
      <c r="AA1075" s="1"/>
    </row>
    <row r="1076">
      <c r="D1076" s="4"/>
      <c r="H1076" s="1"/>
      <c r="I1076" s="1"/>
      <c r="Q1076" s="1"/>
      <c r="R1076" s="1"/>
      <c r="U1076" s="125"/>
      <c r="V1076" s="111"/>
      <c r="W1076" s="112"/>
      <c r="X1076" s="113"/>
      <c r="Z1076" s="1"/>
      <c r="AA1076" s="1"/>
    </row>
    <row r="1077">
      <c r="D1077" s="4"/>
      <c r="H1077" s="1"/>
      <c r="I1077" s="1"/>
      <c r="Q1077" s="1"/>
      <c r="R1077" s="1"/>
      <c r="U1077" s="125"/>
      <c r="V1077" s="111"/>
      <c r="W1077" s="112"/>
      <c r="X1077" s="113"/>
      <c r="Z1077" s="1"/>
      <c r="AA1077" s="1"/>
    </row>
    <row r="1078">
      <c r="D1078" s="4"/>
      <c r="H1078" s="1"/>
      <c r="I1078" s="1"/>
      <c r="Q1078" s="1"/>
      <c r="R1078" s="1"/>
      <c r="U1078" s="125"/>
      <c r="V1078" s="111"/>
      <c r="W1078" s="112"/>
      <c r="X1078" s="113"/>
      <c r="Z1078" s="1"/>
      <c r="AA1078" s="1"/>
    </row>
    <row r="1079">
      <c r="D1079" s="4"/>
      <c r="H1079" s="1"/>
      <c r="I1079" s="1"/>
      <c r="Q1079" s="1"/>
      <c r="R1079" s="1"/>
      <c r="U1079" s="125"/>
      <c r="V1079" s="111"/>
      <c r="W1079" s="112"/>
      <c r="X1079" s="113"/>
      <c r="Z1079" s="1"/>
      <c r="AA1079" s="1"/>
    </row>
    <row r="1080">
      <c r="D1080" s="4"/>
      <c r="H1080" s="1"/>
      <c r="I1080" s="1"/>
      <c r="Q1080" s="1"/>
      <c r="R1080" s="1"/>
      <c r="U1080" s="125"/>
      <c r="V1080" s="111"/>
      <c r="W1080" s="112"/>
      <c r="X1080" s="113"/>
      <c r="Z1080" s="1"/>
      <c r="AA1080" s="1"/>
    </row>
    <row r="1081">
      <c r="D1081" s="4"/>
      <c r="H1081" s="1"/>
      <c r="I1081" s="1"/>
      <c r="Q1081" s="1"/>
      <c r="R1081" s="1"/>
      <c r="U1081" s="125"/>
      <c r="V1081" s="111"/>
      <c r="W1081" s="112"/>
      <c r="X1081" s="113"/>
      <c r="Z1081" s="1"/>
      <c r="AA1081" s="1"/>
    </row>
    <row r="1082">
      <c r="D1082" s="4"/>
      <c r="H1082" s="1"/>
      <c r="I1082" s="1"/>
      <c r="Q1082" s="1"/>
      <c r="R1082" s="1"/>
      <c r="U1082" s="125"/>
      <c r="V1082" s="111"/>
      <c r="W1082" s="112"/>
      <c r="X1082" s="113"/>
      <c r="Z1082" s="1"/>
      <c r="AA1082" s="1"/>
    </row>
    <row r="1083">
      <c r="D1083" s="4"/>
      <c r="H1083" s="1"/>
      <c r="I1083" s="1"/>
      <c r="Q1083" s="1"/>
      <c r="R1083" s="1"/>
      <c r="U1083" s="125"/>
      <c r="V1083" s="111"/>
      <c r="W1083" s="112"/>
      <c r="X1083" s="113"/>
      <c r="Z1083" s="1"/>
      <c r="AA1083" s="1"/>
    </row>
    <row r="1084">
      <c r="D1084" s="4"/>
      <c r="H1084" s="1"/>
      <c r="I1084" s="1"/>
      <c r="Q1084" s="1"/>
      <c r="R1084" s="1"/>
      <c r="U1084" s="125"/>
      <c r="V1084" s="111"/>
      <c r="W1084" s="112"/>
      <c r="X1084" s="113"/>
      <c r="Z1084" s="1"/>
      <c r="AA1084" s="1"/>
    </row>
    <row r="1085">
      <c r="D1085" s="4"/>
      <c r="H1085" s="1"/>
      <c r="I1085" s="1"/>
      <c r="Q1085" s="1"/>
      <c r="R1085" s="1"/>
      <c r="U1085" s="125"/>
      <c r="V1085" s="111"/>
      <c r="W1085" s="112"/>
      <c r="X1085" s="113"/>
      <c r="Z1085" s="1"/>
      <c r="AA1085" s="1"/>
    </row>
    <row r="1086">
      <c r="D1086" s="4"/>
      <c r="H1086" s="1"/>
      <c r="I1086" s="1"/>
      <c r="Q1086" s="1"/>
      <c r="R1086" s="1"/>
      <c r="U1086" s="125"/>
      <c r="V1086" s="111"/>
      <c r="W1086" s="112"/>
      <c r="X1086" s="113"/>
      <c r="Z1086" s="1"/>
      <c r="AA1086" s="1"/>
    </row>
    <row r="1087">
      <c r="D1087" s="4"/>
      <c r="H1087" s="1"/>
      <c r="I1087" s="1"/>
      <c r="Q1087" s="1"/>
      <c r="R1087" s="1"/>
      <c r="U1087" s="125"/>
      <c r="V1087" s="111"/>
      <c r="W1087" s="112"/>
      <c r="X1087" s="113"/>
      <c r="Z1087" s="1"/>
      <c r="AA1087" s="1"/>
    </row>
    <row r="1088">
      <c r="D1088" s="4"/>
      <c r="H1088" s="1"/>
      <c r="I1088" s="1"/>
      <c r="Q1088" s="1"/>
      <c r="R1088" s="1"/>
      <c r="U1088" s="125"/>
      <c r="V1088" s="111"/>
      <c r="W1088" s="112"/>
      <c r="X1088" s="113"/>
      <c r="Z1088" s="1"/>
      <c r="AA1088" s="1"/>
    </row>
    <row r="1089">
      <c r="D1089" s="4"/>
      <c r="H1089" s="1"/>
      <c r="I1089" s="1"/>
      <c r="Q1089" s="1"/>
      <c r="R1089" s="1"/>
      <c r="U1089" s="125"/>
      <c r="V1089" s="111"/>
      <c r="W1089" s="112"/>
      <c r="X1089" s="113"/>
      <c r="Z1089" s="1"/>
      <c r="AA1089" s="1"/>
    </row>
    <row r="1090">
      <c r="D1090" s="4"/>
      <c r="H1090" s="1"/>
      <c r="I1090" s="1"/>
      <c r="Q1090" s="1"/>
      <c r="R1090" s="1"/>
      <c r="U1090" s="125"/>
      <c r="V1090" s="111"/>
      <c r="W1090" s="112"/>
      <c r="X1090" s="113"/>
      <c r="Z1090" s="1"/>
      <c r="AA1090" s="1"/>
    </row>
    <row r="1091">
      <c r="D1091" s="4"/>
      <c r="H1091" s="1"/>
      <c r="I1091" s="1"/>
      <c r="Q1091" s="1"/>
      <c r="R1091" s="1"/>
      <c r="U1091" s="125"/>
      <c r="V1091" s="111"/>
      <c r="W1091" s="112"/>
      <c r="X1091" s="113"/>
      <c r="Z1091" s="1"/>
      <c r="AA1091" s="1"/>
    </row>
    <row r="1092">
      <c r="D1092" s="4"/>
      <c r="H1092" s="1"/>
      <c r="I1092" s="1"/>
      <c r="Q1092" s="1"/>
      <c r="R1092" s="1"/>
      <c r="U1092" s="125"/>
      <c r="V1092" s="111"/>
      <c r="W1092" s="112"/>
      <c r="X1092" s="113"/>
      <c r="Z1092" s="1"/>
      <c r="AA1092" s="1"/>
    </row>
    <row r="1093">
      <c r="D1093" s="4"/>
      <c r="H1093" s="1"/>
      <c r="I1093" s="1"/>
      <c r="Q1093" s="1"/>
      <c r="R1093" s="1"/>
      <c r="U1093" s="125"/>
      <c r="V1093" s="111"/>
      <c r="W1093" s="112"/>
      <c r="X1093" s="113"/>
      <c r="Z1093" s="1"/>
      <c r="AA1093" s="1"/>
    </row>
    <row r="1094">
      <c r="D1094" s="4"/>
      <c r="H1094" s="1"/>
      <c r="I1094" s="1"/>
      <c r="Q1094" s="1"/>
      <c r="R1094" s="1"/>
      <c r="U1094" s="125"/>
      <c r="V1094" s="111"/>
      <c r="W1094" s="112"/>
      <c r="X1094" s="113"/>
      <c r="Z1094" s="1"/>
      <c r="AA1094" s="1"/>
    </row>
    <row r="1095">
      <c r="D1095" s="4"/>
      <c r="H1095" s="1"/>
      <c r="I1095" s="1"/>
      <c r="Q1095" s="1"/>
      <c r="R1095" s="1"/>
      <c r="U1095" s="125"/>
      <c r="V1095" s="111"/>
      <c r="W1095" s="112"/>
      <c r="X1095" s="113"/>
      <c r="Z1095" s="1"/>
      <c r="AA1095" s="1"/>
    </row>
    <row r="1096">
      <c r="D1096" s="4"/>
      <c r="H1096" s="1"/>
      <c r="I1096" s="1"/>
      <c r="Q1096" s="1"/>
      <c r="R1096" s="1"/>
      <c r="U1096" s="125"/>
      <c r="V1096" s="111"/>
      <c r="W1096" s="112"/>
      <c r="X1096" s="113"/>
      <c r="Z1096" s="1"/>
      <c r="AA1096" s="1"/>
    </row>
    <row r="1097">
      <c r="D1097" s="4"/>
      <c r="H1097" s="1"/>
      <c r="I1097" s="1"/>
      <c r="Q1097" s="1"/>
      <c r="R1097" s="1"/>
      <c r="U1097" s="125"/>
      <c r="V1097" s="111"/>
      <c r="W1097" s="112"/>
      <c r="X1097" s="113"/>
      <c r="Z1097" s="1"/>
      <c r="AA1097" s="1"/>
    </row>
    <row r="1098">
      <c r="D1098" s="4"/>
      <c r="H1098" s="1"/>
      <c r="I1098" s="1"/>
      <c r="Q1098" s="1"/>
      <c r="R1098" s="1"/>
      <c r="U1098" s="125"/>
      <c r="V1098" s="111"/>
      <c r="W1098" s="112"/>
      <c r="X1098" s="113"/>
      <c r="Z1098" s="1"/>
      <c r="AA1098" s="1"/>
    </row>
    <row r="1099">
      <c r="D1099" s="4"/>
      <c r="H1099" s="1"/>
      <c r="I1099" s="1"/>
      <c r="Q1099" s="1"/>
      <c r="R1099" s="1"/>
      <c r="U1099" s="125"/>
      <c r="V1099" s="111"/>
      <c r="W1099" s="112"/>
      <c r="X1099" s="113"/>
      <c r="Z1099" s="1"/>
      <c r="AA1099" s="1"/>
    </row>
    <row r="1100">
      <c r="D1100" s="4"/>
      <c r="H1100" s="1"/>
      <c r="I1100" s="1"/>
      <c r="Q1100" s="1"/>
      <c r="R1100" s="1"/>
      <c r="U1100" s="125"/>
      <c r="V1100" s="111"/>
      <c r="W1100" s="112"/>
      <c r="X1100" s="113"/>
      <c r="Z1100" s="1"/>
      <c r="AA1100" s="1"/>
    </row>
    <row r="1101">
      <c r="D1101" s="4"/>
      <c r="H1101" s="1"/>
      <c r="I1101" s="1"/>
      <c r="Q1101" s="1"/>
      <c r="R1101" s="1"/>
      <c r="U1101" s="125"/>
      <c r="V1101" s="111"/>
      <c r="W1101" s="112"/>
      <c r="X1101" s="113"/>
      <c r="Z1101" s="1"/>
      <c r="AA1101" s="1"/>
    </row>
    <row r="1102">
      <c r="D1102" s="4"/>
      <c r="H1102" s="1"/>
      <c r="I1102" s="1"/>
      <c r="Q1102" s="1"/>
      <c r="R1102" s="1"/>
      <c r="U1102" s="125"/>
      <c r="V1102" s="111"/>
      <c r="W1102" s="112"/>
      <c r="X1102" s="113"/>
      <c r="Z1102" s="1"/>
      <c r="AA1102" s="1"/>
    </row>
    <row r="1103">
      <c r="D1103" s="4"/>
      <c r="H1103" s="1"/>
      <c r="I1103" s="1"/>
      <c r="Q1103" s="1"/>
      <c r="R1103" s="1"/>
      <c r="U1103" s="125"/>
      <c r="V1103" s="111"/>
      <c r="W1103" s="112"/>
      <c r="X1103" s="113"/>
      <c r="Z1103" s="1"/>
      <c r="AA1103" s="1"/>
    </row>
    <row r="1104">
      <c r="D1104" s="4"/>
      <c r="H1104" s="1"/>
      <c r="I1104" s="1"/>
      <c r="Q1104" s="1"/>
      <c r="R1104" s="1"/>
      <c r="U1104" s="125"/>
      <c r="V1104" s="111"/>
      <c r="W1104" s="112"/>
      <c r="X1104" s="113"/>
      <c r="Z1104" s="1"/>
      <c r="AA1104" s="1"/>
    </row>
    <row r="1105">
      <c r="D1105" s="4"/>
      <c r="H1105" s="1"/>
      <c r="I1105" s="1"/>
      <c r="Q1105" s="1"/>
      <c r="R1105" s="1"/>
      <c r="U1105" s="125"/>
      <c r="V1105" s="111"/>
      <c r="W1105" s="112"/>
      <c r="X1105" s="113"/>
      <c r="Z1105" s="1"/>
      <c r="AA1105" s="1"/>
    </row>
    <row r="1106">
      <c r="D1106" s="4"/>
      <c r="H1106" s="1"/>
      <c r="I1106" s="1"/>
      <c r="Q1106" s="1"/>
      <c r="R1106" s="1"/>
      <c r="U1106" s="125"/>
      <c r="V1106" s="111"/>
      <c r="W1106" s="112"/>
      <c r="X1106" s="113"/>
      <c r="Z1106" s="1"/>
      <c r="AA1106" s="1"/>
    </row>
    <row r="1107">
      <c r="D1107" s="4"/>
      <c r="H1107" s="1"/>
      <c r="I1107" s="1"/>
      <c r="Q1107" s="1"/>
      <c r="R1107" s="1"/>
      <c r="U1107" s="125"/>
      <c r="V1107" s="111"/>
      <c r="W1107" s="112"/>
      <c r="X1107" s="113"/>
      <c r="Z1107" s="1"/>
      <c r="AA1107" s="1"/>
    </row>
    <row r="1108">
      <c r="D1108" s="4"/>
      <c r="H1108" s="1"/>
      <c r="I1108" s="1"/>
      <c r="Q1108" s="1"/>
      <c r="R1108" s="1"/>
      <c r="U1108" s="125"/>
      <c r="V1108" s="111"/>
      <c r="W1108" s="112"/>
      <c r="X1108" s="113"/>
      <c r="Z1108" s="1"/>
      <c r="AA1108" s="1"/>
    </row>
    <row r="1109">
      <c r="D1109" s="4"/>
      <c r="H1109" s="1"/>
      <c r="I1109" s="1"/>
      <c r="Q1109" s="1"/>
      <c r="R1109" s="1"/>
      <c r="U1109" s="125"/>
      <c r="V1109" s="111"/>
      <c r="W1109" s="112"/>
      <c r="X1109" s="113"/>
      <c r="Z1109" s="1"/>
      <c r="AA1109" s="1"/>
    </row>
    <row r="1110">
      <c r="D1110" s="4"/>
      <c r="H1110" s="1"/>
      <c r="I1110" s="1"/>
      <c r="Q1110" s="1"/>
      <c r="R1110" s="1"/>
      <c r="U1110" s="125"/>
      <c r="V1110" s="111"/>
      <c r="W1110" s="112"/>
      <c r="X1110" s="113"/>
      <c r="Z1110" s="1"/>
      <c r="AA1110" s="1"/>
    </row>
    <row r="1111">
      <c r="D1111" s="4"/>
      <c r="H1111" s="1"/>
      <c r="I1111" s="1"/>
      <c r="Q1111" s="1"/>
      <c r="R1111" s="1"/>
      <c r="U1111" s="125"/>
      <c r="V1111" s="111"/>
      <c r="W1111" s="112"/>
      <c r="X1111" s="113"/>
      <c r="Z1111" s="1"/>
      <c r="AA1111" s="1"/>
    </row>
    <row r="1112">
      <c r="D1112" s="4"/>
      <c r="H1112" s="1"/>
      <c r="I1112" s="1"/>
      <c r="Q1112" s="1"/>
      <c r="R1112" s="1"/>
      <c r="U1112" s="125"/>
      <c r="V1112" s="111"/>
      <c r="W1112" s="112"/>
      <c r="X1112" s="113"/>
      <c r="Z1112" s="1"/>
      <c r="AA1112" s="1"/>
    </row>
    <row r="1113">
      <c r="D1113" s="4"/>
      <c r="H1113" s="1"/>
      <c r="I1113" s="1"/>
      <c r="Q1113" s="1"/>
      <c r="R1113" s="1"/>
      <c r="U1113" s="125"/>
      <c r="V1113" s="111"/>
      <c r="W1113" s="112"/>
      <c r="X1113" s="113"/>
      <c r="Z1113" s="1"/>
      <c r="AA1113" s="1"/>
    </row>
    <row r="1114">
      <c r="D1114" s="4"/>
      <c r="H1114" s="1"/>
      <c r="I1114" s="1"/>
      <c r="Q1114" s="1"/>
      <c r="R1114" s="1"/>
      <c r="U1114" s="125"/>
      <c r="V1114" s="111"/>
      <c r="W1114" s="112"/>
      <c r="X1114" s="113"/>
      <c r="Z1114" s="1"/>
      <c r="AA1114" s="1"/>
    </row>
    <row r="1115">
      <c r="D1115" s="4"/>
      <c r="H1115" s="1"/>
      <c r="I1115" s="1"/>
      <c r="Q1115" s="1"/>
      <c r="R1115" s="1"/>
      <c r="U1115" s="125"/>
      <c r="V1115" s="111"/>
      <c r="W1115" s="112"/>
      <c r="X1115" s="113"/>
      <c r="Z1115" s="1"/>
      <c r="AA1115" s="1"/>
    </row>
    <row r="1116">
      <c r="D1116" s="4"/>
      <c r="H1116" s="1"/>
      <c r="I1116" s="1"/>
      <c r="Q1116" s="1"/>
      <c r="R1116" s="1"/>
      <c r="U1116" s="125"/>
      <c r="V1116" s="111"/>
      <c r="W1116" s="112"/>
      <c r="X1116" s="113"/>
      <c r="Z1116" s="1"/>
      <c r="AA1116" s="1"/>
    </row>
    <row r="1117">
      <c r="D1117" s="4"/>
      <c r="H1117" s="1"/>
      <c r="I1117" s="1"/>
      <c r="Q1117" s="1"/>
      <c r="R1117" s="1"/>
      <c r="U1117" s="125"/>
      <c r="V1117" s="111"/>
      <c r="W1117" s="112"/>
      <c r="X1117" s="113"/>
      <c r="Z1117" s="1"/>
      <c r="AA1117" s="1"/>
    </row>
    <row r="1118">
      <c r="D1118" s="4"/>
      <c r="H1118" s="1"/>
      <c r="I1118" s="1"/>
      <c r="Q1118" s="1"/>
      <c r="R1118" s="1"/>
      <c r="U1118" s="125"/>
      <c r="V1118" s="111"/>
      <c r="W1118" s="112"/>
      <c r="X1118" s="113"/>
      <c r="Z1118" s="1"/>
      <c r="AA1118" s="1"/>
    </row>
    <row r="1119">
      <c r="D1119" s="4"/>
      <c r="H1119" s="1"/>
      <c r="I1119" s="1"/>
      <c r="Q1119" s="1"/>
      <c r="R1119" s="1"/>
      <c r="U1119" s="125"/>
      <c r="V1119" s="111"/>
      <c r="W1119" s="112"/>
      <c r="X1119" s="113"/>
      <c r="Z1119" s="1"/>
      <c r="AA1119" s="1"/>
    </row>
    <row r="1120">
      <c r="D1120" s="4"/>
      <c r="H1120" s="1"/>
      <c r="I1120" s="1"/>
      <c r="Q1120" s="1"/>
      <c r="R1120" s="1"/>
      <c r="U1120" s="125"/>
      <c r="V1120" s="111"/>
      <c r="W1120" s="112"/>
      <c r="X1120" s="113"/>
      <c r="Z1120" s="1"/>
      <c r="AA1120" s="1"/>
    </row>
    <row r="1121">
      <c r="D1121" s="4"/>
      <c r="H1121" s="1"/>
      <c r="I1121" s="1"/>
      <c r="Q1121" s="1"/>
      <c r="R1121" s="1"/>
      <c r="U1121" s="125"/>
      <c r="V1121" s="111"/>
      <c r="W1121" s="112"/>
      <c r="X1121" s="113"/>
      <c r="Z1121" s="1"/>
      <c r="AA1121" s="1"/>
    </row>
    <row r="1122">
      <c r="D1122" s="4"/>
      <c r="H1122" s="1"/>
      <c r="I1122" s="1"/>
      <c r="Q1122" s="1"/>
      <c r="R1122" s="1"/>
      <c r="U1122" s="125"/>
      <c r="V1122" s="111"/>
      <c r="W1122" s="112"/>
      <c r="X1122" s="113"/>
      <c r="Z1122" s="1"/>
      <c r="AA1122" s="1"/>
    </row>
    <row r="1123">
      <c r="D1123" s="4"/>
      <c r="H1123" s="1"/>
      <c r="I1123" s="1"/>
      <c r="Q1123" s="1"/>
      <c r="R1123" s="1"/>
      <c r="U1123" s="125"/>
      <c r="V1123" s="111"/>
      <c r="W1123" s="112"/>
      <c r="X1123" s="113"/>
      <c r="Z1123" s="1"/>
      <c r="AA1123" s="1"/>
    </row>
    <row r="1124">
      <c r="D1124" s="4"/>
      <c r="H1124" s="1"/>
      <c r="I1124" s="1"/>
      <c r="Q1124" s="1"/>
      <c r="R1124" s="1"/>
      <c r="U1124" s="125"/>
      <c r="V1124" s="111"/>
      <c r="W1124" s="112"/>
      <c r="X1124" s="113"/>
      <c r="Z1124" s="1"/>
      <c r="AA1124" s="1"/>
    </row>
    <row r="1125">
      <c r="D1125" s="4"/>
      <c r="H1125" s="1"/>
      <c r="I1125" s="1"/>
      <c r="Q1125" s="1"/>
      <c r="R1125" s="1"/>
      <c r="U1125" s="125"/>
      <c r="V1125" s="111"/>
      <c r="W1125" s="112"/>
      <c r="X1125" s="113"/>
      <c r="Z1125" s="1"/>
      <c r="AA1125" s="1"/>
    </row>
    <row r="1126">
      <c r="D1126" s="4"/>
      <c r="H1126" s="1"/>
      <c r="I1126" s="1"/>
      <c r="Q1126" s="1"/>
      <c r="R1126" s="1"/>
      <c r="U1126" s="125"/>
      <c r="V1126" s="111"/>
      <c r="W1126" s="112"/>
      <c r="X1126" s="113"/>
      <c r="Z1126" s="1"/>
      <c r="AA1126" s="1"/>
    </row>
    <row r="1127">
      <c r="D1127" s="4"/>
      <c r="H1127" s="1"/>
      <c r="I1127" s="1"/>
      <c r="Q1127" s="1"/>
      <c r="R1127" s="1"/>
      <c r="U1127" s="125"/>
      <c r="V1127" s="111"/>
      <c r="W1127" s="112"/>
      <c r="X1127" s="113"/>
      <c r="Z1127" s="1"/>
      <c r="AA1127" s="1"/>
    </row>
    <row r="1128">
      <c r="D1128" s="4"/>
      <c r="H1128" s="1"/>
      <c r="I1128" s="1"/>
      <c r="Q1128" s="1"/>
      <c r="R1128" s="1"/>
      <c r="U1128" s="125"/>
      <c r="V1128" s="111"/>
      <c r="W1128" s="112"/>
      <c r="X1128" s="113"/>
      <c r="Z1128" s="1"/>
      <c r="AA1128" s="1"/>
    </row>
    <row r="1129">
      <c r="D1129" s="4"/>
      <c r="H1129" s="1"/>
      <c r="I1129" s="1"/>
      <c r="Q1129" s="1"/>
      <c r="R1129" s="1"/>
      <c r="U1129" s="125"/>
      <c r="V1129" s="111"/>
      <c r="W1129" s="112"/>
      <c r="X1129" s="113"/>
      <c r="Z1129" s="1"/>
      <c r="AA1129" s="1"/>
    </row>
    <row r="1130">
      <c r="D1130" s="4"/>
      <c r="H1130" s="1"/>
      <c r="I1130" s="1"/>
      <c r="Q1130" s="1"/>
      <c r="R1130" s="1"/>
      <c r="U1130" s="125"/>
      <c r="V1130" s="111"/>
      <c r="W1130" s="112"/>
      <c r="X1130" s="113"/>
      <c r="Z1130" s="1"/>
      <c r="AA1130" s="1"/>
    </row>
    <row r="1131">
      <c r="D1131" s="4"/>
      <c r="H1131" s="1"/>
      <c r="I1131" s="1"/>
      <c r="Q1131" s="1"/>
      <c r="R1131" s="1"/>
      <c r="U1131" s="125"/>
      <c r="V1131" s="111"/>
      <c r="W1131" s="112"/>
      <c r="X1131" s="113"/>
      <c r="Z1131" s="1"/>
      <c r="AA1131" s="1"/>
    </row>
    <row r="1132">
      <c r="D1132" s="4"/>
      <c r="H1132" s="1"/>
      <c r="I1132" s="1"/>
      <c r="Q1132" s="1"/>
      <c r="R1132" s="1"/>
      <c r="U1132" s="125"/>
      <c r="V1132" s="111"/>
      <c r="W1132" s="112"/>
      <c r="X1132" s="113"/>
      <c r="Z1132" s="1"/>
      <c r="AA1132" s="1"/>
    </row>
    <row r="1133">
      <c r="D1133" s="4"/>
      <c r="H1133" s="1"/>
      <c r="I1133" s="1"/>
      <c r="Q1133" s="1"/>
      <c r="R1133" s="1"/>
      <c r="U1133" s="125"/>
      <c r="V1133" s="111"/>
      <c r="W1133" s="112"/>
      <c r="X1133" s="113"/>
      <c r="Z1133" s="1"/>
      <c r="AA1133" s="1"/>
    </row>
    <row r="1134">
      <c r="D1134" s="4"/>
      <c r="H1134" s="1"/>
      <c r="I1134" s="1"/>
      <c r="Q1134" s="1"/>
      <c r="R1134" s="1"/>
      <c r="U1134" s="125"/>
      <c r="V1134" s="111"/>
      <c r="W1134" s="112"/>
      <c r="X1134" s="113"/>
      <c r="Z1134" s="1"/>
      <c r="AA1134" s="1"/>
    </row>
    <row r="1135">
      <c r="D1135" s="4"/>
      <c r="H1135" s="1"/>
      <c r="I1135" s="1"/>
      <c r="Q1135" s="1"/>
      <c r="R1135" s="1"/>
      <c r="U1135" s="125"/>
      <c r="V1135" s="111"/>
      <c r="W1135" s="112"/>
      <c r="X1135" s="113"/>
      <c r="Z1135" s="1"/>
      <c r="AA1135" s="1"/>
    </row>
    <row r="1136">
      <c r="D1136" s="4"/>
      <c r="H1136" s="1"/>
      <c r="I1136" s="1"/>
      <c r="Q1136" s="1"/>
      <c r="R1136" s="1"/>
      <c r="U1136" s="125"/>
      <c r="V1136" s="111"/>
      <c r="W1136" s="112"/>
      <c r="X1136" s="113"/>
      <c r="Z1136" s="1"/>
      <c r="AA1136" s="1"/>
    </row>
    <row r="1137">
      <c r="D1137" s="4"/>
      <c r="H1137" s="1"/>
      <c r="I1137" s="1"/>
      <c r="Q1137" s="1"/>
      <c r="R1137" s="1"/>
      <c r="U1137" s="125"/>
      <c r="V1137" s="111"/>
      <c r="W1137" s="112"/>
      <c r="X1137" s="113"/>
      <c r="Z1137" s="1"/>
      <c r="AA1137" s="1"/>
    </row>
    <row r="1138">
      <c r="D1138" s="4"/>
      <c r="H1138" s="1"/>
      <c r="I1138" s="1"/>
      <c r="Q1138" s="1"/>
      <c r="R1138" s="1"/>
      <c r="U1138" s="125"/>
      <c r="V1138" s="111"/>
      <c r="W1138" s="112"/>
      <c r="X1138" s="113"/>
      <c r="Z1138" s="1"/>
      <c r="AA1138" s="1"/>
    </row>
    <row r="1139">
      <c r="D1139" s="4"/>
      <c r="H1139" s="1"/>
      <c r="I1139" s="1"/>
      <c r="Q1139" s="1"/>
      <c r="R1139" s="1"/>
      <c r="U1139" s="125"/>
      <c r="V1139" s="111"/>
      <c r="W1139" s="112"/>
      <c r="X1139" s="113"/>
      <c r="Z1139" s="1"/>
      <c r="AA1139" s="1"/>
    </row>
    <row r="1140">
      <c r="D1140" s="4"/>
      <c r="H1140" s="1"/>
      <c r="I1140" s="1"/>
      <c r="Q1140" s="1"/>
      <c r="R1140" s="1"/>
      <c r="U1140" s="125"/>
      <c r="V1140" s="111"/>
      <c r="W1140" s="112"/>
      <c r="X1140" s="113"/>
      <c r="Z1140" s="1"/>
      <c r="AA1140" s="1"/>
    </row>
    <row r="1141">
      <c r="D1141" s="4"/>
      <c r="H1141" s="1"/>
      <c r="I1141" s="1"/>
      <c r="Q1141" s="1"/>
      <c r="R1141" s="1"/>
      <c r="U1141" s="125"/>
      <c r="V1141" s="111"/>
      <c r="W1141" s="112"/>
      <c r="X1141" s="113"/>
      <c r="Z1141" s="1"/>
      <c r="AA1141" s="1"/>
    </row>
    <row r="1142">
      <c r="D1142" s="4"/>
      <c r="H1142" s="1"/>
      <c r="I1142" s="1"/>
      <c r="Q1142" s="1"/>
      <c r="R1142" s="1"/>
      <c r="U1142" s="125"/>
      <c r="V1142" s="111"/>
      <c r="W1142" s="112"/>
      <c r="X1142" s="113"/>
      <c r="Z1142" s="1"/>
      <c r="AA1142" s="1"/>
    </row>
    <row r="1143">
      <c r="D1143" s="4"/>
      <c r="H1143" s="1"/>
      <c r="I1143" s="1"/>
      <c r="Q1143" s="1"/>
      <c r="R1143" s="1"/>
      <c r="U1143" s="125"/>
      <c r="V1143" s="111"/>
      <c r="W1143" s="112"/>
      <c r="X1143" s="113"/>
      <c r="Z1143" s="1"/>
      <c r="AA1143" s="1"/>
    </row>
    <row r="1144">
      <c r="D1144" s="4"/>
      <c r="H1144" s="1"/>
      <c r="I1144" s="1"/>
      <c r="Q1144" s="1"/>
      <c r="R1144" s="1"/>
      <c r="U1144" s="125"/>
      <c r="V1144" s="111"/>
      <c r="W1144" s="112"/>
      <c r="X1144" s="113"/>
      <c r="Z1144" s="1"/>
      <c r="AA1144" s="1"/>
    </row>
    <row r="1145">
      <c r="D1145" s="4"/>
      <c r="H1145" s="1"/>
      <c r="I1145" s="1"/>
      <c r="Q1145" s="1"/>
      <c r="R1145" s="1"/>
      <c r="U1145" s="125"/>
      <c r="V1145" s="111"/>
      <c r="W1145" s="112"/>
      <c r="X1145" s="113"/>
      <c r="Z1145" s="1"/>
      <c r="AA1145" s="1"/>
    </row>
    <row r="1146">
      <c r="D1146" s="4"/>
      <c r="H1146" s="1"/>
      <c r="I1146" s="1"/>
      <c r="Q1146" s="1"/>
      <c r="R1146" s="1"/>
      <c r="U1146" s="125"/>
      <c r="V1146" s="111"/>
      <c r="W1146" s="112"/>
      <c r="X1146" s="113"/>
      <c r="Z1146" s="1"/>
      <c r="AA1146" s="1"/>
    </row>
    <row r="1147">
      <c r="D1147" s="4"/>
      <c r="H1147" s="1"/>
      <c r="I1147" s="1"/>
      <c r="Q1147" s="1"/>
      <c r="R1147" s="1"/>
      <c r="U1147" s="125"/>
      <c r="V1147" s="111"/>
      <c r="W1147" s="112"/>
      <c r="X1147" s="113"/>
      <c r="Z1147" s="1"/>
      <c r="AA1147" s="1"/>
    </row>
    <row r="1148">
      <c r="D1148" s="4"/>
      <c r="H1148" s="1"/>
      <c r="I1148" s="1"/>
      <c r="Q1148" s="1"/>
      <c r="R1148" s="1"/>
      <c r="U1148" s="125"/>
      <c r="V1148" s="111"/>
      <c r="W1148" s="112"/>
      <c r="X1148" s="113"/>
      <c r="Z1148" s="1"/>
      <c r="AA1148" s="1"/>
    </row>
    <row r="1149">
      <c r="D1149" s="4"/>
      <c r="H1149" s="1"/>
      <c r="I1149" s="1"/>
      <c r="Q1149" s="1"/>
      <c r="R1149" s="1"/>
      <c r="U1149" s="125"/>
      <c r="V1149" s="111"/>
      <c r="W1149" s="112"/>
      <c r="X1149" s="113"/>
      <c r="Z1149" s="1"/>
      <c r="AA1149" s="1"/>
    </row>
    <row r="1150">
      <c r="D1150" s="4"/>
      <c r="H1150" s="1"/>
      <c r="I1150" s="1"/>
      <c r="Q1150" s="1"/>
      <c r="R1150" s="1"/>
      <c r="U1150" s="125"/>
      <c r="V1150" s="111"/>
      <c r="W1150" s="112"/>
      <c r="X1150" s="113"/>
      <c r="Z1150" s="1"/>
      <c r="AA1150" s="1"/>
    </row>
    <row r="1151">
      <c r="D1151" s="4"/>
      <c r="H1151" s="1"/>
      <c r="I1151" s="1"/>
      <c r="Q1151" s="1"/>
      <c r="R1151" s="1"/>
      <c r="U1151" s="125"/>
      <c r="V1151" s="111"/>
      <c r="W1151" s="112"/>
      <c r="X1151" s="113"/>
      <c r="Z1151" s="1"/>
      <c r="AA1151" s="1"/>
    </row>
    <row r="1152">
      <c r="D1152" s="4"/>
      <c r="H1152" s="1"/>
      <c r="I1152" s="1"/>
      <c r="Q1152" s="1"/>
      <c r="R1152" s="1"/>
      <c r="U1152" s="125"/>
      <c r="V1152" s="111"/>
      <c r="W1152" s="112"/>
      <c r="X1152" s="113"/>
      <c r="Z1152" s="1"/>
      <c r="AA1152" s="1"/>
    </row>
    <row r="1153">
      <c r="D1153" s="4"/>
      <c r="H1153" s="1"/>
      <c r="I1153" s="1"/>
      <c r="Q1153" s="1"/>
      <c r="R1153" s="1"/>
      <c r="U1153" s="125"/>
      <c r="V1153" s="111"/>
      <c r="W1153" s="112"/>
      <c r="X1153" s="113"/>
      <c r="Z1153" s="1"/>
      <c r="AA1153" s="1"/>
    </row>
    <row r="1154">
      <c r="D1154" s="4"/>
      <c r="H1154" s="1"/>
      <c r="I1154" s="1"/>
      <c r="Q1154" s="1"/>
      <c r="R1154" s="1"/>
      <c r="U1154" s="125"/>
      <c r="V1154" s="111"/>
      <c r="W1154" s="112"/>
      <c r="X1154" s="113"/>
      <c r="Z1154" s="1"/>
      <c r="AA1154" s="1"/>
    </row>
    <row r="1155">
      <c r="D1155" s="4"/>
      <c r="H1155" s="1"/>
      <c r="I1155" s="1"/>
      <c r="Q1155" s="1"/>
      <c r="R1155" s="1"/>
      <c r="U1155" s="125"/>
      <c r="V1155" s="111"/>
      <c r="W1155" s="112"/>
      <c r="X1155" s="113"/>
      <c r="Z1155" s="1"/>
      <c r="AA1155" s="1"/>
    </row>
    <row r="1156">
      <c r="D1156" s="4"/>
      <c r="H1156" s="1"/>
      <c r="I1156" s="1"/>
      <c r="Q1156" s="1"/>
      <c r="R1156" s="1"/>
      <c r="U1156" s="125"/>
      <c r="V1156" s="111"/>
      <c r="W1156" s="112"/>
      <c r="X1156" s="113"/>
      <c r="Z1156" s="1"/>
      <c r="AA1156" s="1"/>
    </row>
    <row r="1157">
      <c r="D1157" s="4"/>
      <c r="H1157" s="1"/>
      <c r="I1157" s="1"/>
      <c r="Q1157" s="1"/>
      <c r="R1157" s="1"/>
      <c r="U1157" s="125"/>
      <c r="V1157" s="111"/>
      <c r="W1157" s="112"/>
      <c r="X1157" s="113"/>
      <c r="Z1157" s="1"/>
      <c r="AA1157" s="1"/>
    </row>
    <row r="1158">
      <c r="D1158" s="4"/>
      <c r="H1158" s="1"/>
      <c r="I1158" s="1"/>
      <c r="Q1158" s="1"/>
      <c r="R1158" s="1"/>
      <c r="U1158" s="125"/>
      <c r="V1158" s="111"/>
      <c r="W1158" s="112"/>
      <c r="X1158" s="113"/>
      <c r="Z1158" s="1"/>
      <c r="AA1158" s="1"/>
    </row>
    <row r="1159">
      <c r="D1159" s="4"/>
      <c r="H1159" s="1"/>
      <c r="I1159" s="1"/>
      <c r="Q1159" s="1"/>
      <c r="R1159" s="1"/>
      <c r="U1159" s="125"/>
      <c r="V1159" s="111"/>
      <c r="W1159" s="112"/>
      <c r="X1159" s="113"/>
      <c r="Z1159" s="1"/>
      <c r="AA1159" s="1"/>
    </row>
    <row r="1160">
      <c r="D1160" s="4"/>
      <c r="H1160" s="1"/>
      <c r="I1160" s="1"/>
      <c r="Q1160" s="1"/>
      <c r="R1160" s="1"/>
      <c r="U1160" s="125"/>
      <c r="V1160" s="111"/>
      <c r="W1160" s="112"/>
      <c r="X1160" s="113"/>
      <c r="Z1160" s="1"/>
      <c r="AA1160" s="1"/>
    </row>
    <row r="1161">
      <c r="D1161" s="4"/>
      <c r="H1161" s="1"/>
      <c r="I1161" s="1"/>
      <c r="Q1161" s="1"/>
      <c r="R1161" s="1"/>
      <c r="U1161" s="125"/>
      <c r="V1161" s="111"/>
      <c r="W1161" s="112"/>
      <c r="X1161" s="113"/>
      <c r="Z1161" s="1"/>
      <c r="AA1161" s="1"/>
    </row>
    <row r="1162">
      <c r="D1162" s="4"/>
      <c r="H1162" s="1"/>
      <c r="I1162" s="1"/>
      <c r="Q1162" s="1"/>
      <c r="R1162" s="1"/>
      <c r="U1162" s="125"/>
      <c r="V1162" s="111"/>
      <c r="W1162" s="112"/>
      <c r="X1162" s="113"/>
      <c r="Z1162" s="1"/>
      <c r="AA1162" s="1"/>
    </row>
    <row r="1163">
      <c r="D1163" s="4"/>
      <c r="H1163" s="1"/>
      <c r="I1163" s="1"/>
      <c r="Q1163" s="1"/>
      <c r="R1163" s="1"/>
      <c r="U1163" s="125"/>
      <c r="V1163" s="111"/>
      <c r="W1163" s="112"/>
      <c r="X1163" s="113"/>
      <c r="Z1163" s="1"/>
      <c r="AA1163" s="1"/>
    </row>
    <row r="1164">
      <c r="D1164" s="4"/>
      <c r="H1164" s="1"/>
      <c r="I1164" s="1"/>
      <c r="Q1164" s="1"/>
      <c r="R1164" s="1"/>
      <c r="U1164" s="125"/>
      <c r="V1164" s="111"/>
      <c r="W1164" s="112"/>
      <c r="X1164" s="113"/>
      <c r="Z1164" s="1"/>
      <c r="AA1164" s="1"/>
    </row>
    <row r="1165">
      <c r="D1165" s="4"/>
      <c r="H1165" s="1"/>
      <c r="I1165" s="1"/>
      <c r="Q1165" s="1"/>
      <c r="R1165" s="1"/>
      <c r="U1165" s="125"/>
      <c r="V1165" s="111"/>
      <c r="W1165" s="112"/>
      <c r="X1165" s="113"/>
      <c r="Z1165" s="1"/>
      <c r="AA1165" s="1"/>
    </row>
    <row r="1166">
      <c r="D1166" s="4"/>
      <c r="H1166" s="1"/>
      <c r="I1166" s="1"/>
      <c r="Q1166" s="1"/>
      <c r="R1166" s="1"/>
      <c r="U1166" s="125"/>
      <c r="V1166" s="111"/>
      <c r="W1166" s="112"/>
      <c r="X1166" s="113"/>
      <c r="Z1166" s="1"/>
      <c r="AA1166" s="1"/>
    </row>
    <row r="1167">
      <c r="D1167" s="4"/>
      <c r="H1167" s="1"/>
      <c r="I1167" s="1"/>
      <c r="Q1167" s="1"/>
      <c r="R1167" s="1"/>
      <c r="U1167" s="125"/>
      <c r="V1167" s="111"/>
      <c r="W1167" s="112"/>
      <c r="X1167" s="113"/>
      <c r="Z1167" s="1"/>
      <c r="AA1167" s="1"/>
    </row>
    <row r="1168">
      <c r="D1168" s="4"/>
      <c r="H1168" s="1"/>
      <c r="I1168" s="1"/>
      <c r="Q1168" s="1"/>
      <c r="R1168" s="1"/>
      <c r="U1168" s="125"/>
      <c r="V1168" s="111"/>
      <c r="W1168" s="112"/>
      <c r="X1168" s="113"/>
      <c r="Z1168" s="1"/>
      <c r="AA1168" s="1"/>
    </row>
    <row r="1169">
      <c r="D1169" s="4"/>
      <c r="H1169" s="1"/>
      <c r="I1169" s="1"/>
      <c r="Q1169" s="1"/>
      <c r="R1169" s="1"/>
      <c r="U1169" s="125"/>
      <c r="V1169" s="111"/>
      <c r="W1169" s="112"/>
      <c r="X1169" s="113"/>
      <c r="Z1169" s="1"/>
      <c r="AA1169" s="1"/>
    </row>
    <row r="1170">
      <c r="D1170" s="4"/>
      <c r="H1170" s="1"/>
      <c r="I1170" s="1"/>
      <c r="Q1170" s="1"/>
      <c r="R1170" s="1"/>
      <c r="U1170" s="125"/>
      <c r="V1170" s="111"/>
      <c r="W1170" s="112"/>
      <c r="X1170" s="113"/>
      <c r="Z1170" s="1"/>
      <c r="AA1170" s="1"/>
    </row>
    <row r="1171">
      <c r="D1171" s="4"/>
      <c r="H1171" s="1"/>
      <c r="I1171" s="1"/>
      <c r="Q1171" s="1"/>
      <c r="R1171" s="1"/>
      <c r="U1171" s="125"/>
      <c r="V1171" s="111"/>
      <c r="W1171" s="112"/>
      <c r="X1171" s="113"/>
      <c r="Z1171" s="1"/>
      <c r="AA1171" s="1"/>
    </row>
    <row r="1172">
      <c r="D1172" s="4"/>
      <c r="H1172" s="1"/>
      <c r="I1172" s="1"/>
      <c r="Q1172" s="1"/>
      <c r="R1172" s="1"/>
      <c r="U1172" s="125"/>
      <c r="V1172" s="111"/>
      <c r="W1172" s="112"/>
      <c r="X1172" s="113"/>
      <c r="Z1172" s="1"/>
      <c r="AA1172" s="1"/>
    </row>
    <row r="1173">
      <c r="D1173" s="4"/>
      <c r="H1173" s="1"/>
      <c r="I1173" s="1"/>
      <c r="Q1173" s="1"/>
      <c r="R1173" s="1"/>
      <c r="U1173" s="125"/>
      <c r="V1173" s="111"/>
      <c r="W1173" s="112"/>
      <c r="X1173" s="113"/>
      <c r="Z1173" s="1"/>
      <c r="AA1173" s="1"/>
    </row>
    <row r="1174">
      <c r="D1174" s="4"/>
      <c r="H1174" s="1"/>
      <c r="I1174" s="1"/>
      <c r="Q1174" s="1"/>
      <c r="R1174" s="1"/>
      <c r="U1174" s="125"/>
      <c r="V1174" s="111"/>
      <c r="W1174" s="112"/>
      <c r="X1174" s="113"/>
      <c r="Z1174" s="1"/>
      <c r="AA1174" s="1"/>
    </row>
    <row r="1175">
      <c r="D1175" s="4"/>
      <c r="H1175" s="1"/>
      <c r="I1175" s="1"/>
      <c r="Q1175" s="1"/>
      <c r="R1175" s="1"/>
      <c r="U1175" s="125"/>
      <c r="V1175" s="111"/>
      <c r="W1175" s="112"/>
      <c r="X1175" s="113"/>
      <c r="Z1175" s="1"/>
      <c r="AA1175" s="1"/>
    </row>
    <row r="1176">
      <c r="D1176" s="4"/>
      <c r="H1176" s="1"/>
      <c r="I1176" s="1"/>
      <c r="Q1176" s="1"/>
      <c r="R1176" s="1"/>
      <c r="U1176" s="125"/>
      <c r="V1176" s="111"/>
      <c r="W1176" s="112"/>
      <c r="X1176" s="113"/>
      <c r="Z1176" s="1"/>
      <c r="AA1176" s="1"/>
    </row>
    <row r="1177">
      <c r="D1177" s="4"/>
      <c r="H1177" s="1"/>
      <c r="I1177" s="1"/>
      <c r="Q1177" s="1"/>
      <c r="R1177" s="1"/>
      <c r="U1177" s="125"/>
      <c r="V1177" s="111"/>
      <c r="W1177" s="112"/>
      <c r="X1177" s="113"/>
      <c r="Z1177" s="1"/>
      <c r="AA1177" s="1"/>
    </row>
    <row r="1178">
      <c r="D1178" s="4"/>
      <c r="H1178" s="1"/>
      <c r="I1178" s="1"/>
      <c r="Q1178" s="1"/>
      <c r="R1178" s="1"/>
      <c r="U1178" s="125"/>
      <c r="V1178" s="111"/>
      <c r="W1178" s="112"/>
      <c r="X1178" s="113"/>
      <c r="Z1178" s="1"/>
      <c r="AA1178" s="1"/>
    </row>
    <row r="1179">
      <c r="D1179" s="4"/>
      <c r="H1179" s="1"/>
      <c r="I1179" s="1"/>
      <c r="Q1179" s="1"/>
      <c r="R1179" s="1"/>
      <c r="U1179" s="125"/>
      <c r="V1179" s="111"/>
      <c r="W1179" s="112"/>
      <c r="X1179" s="113"/>
      <c r="Z1179" s="1"/>
      <c r="AA1179" s="1"/>
    </row>
    <row r="1180">
      <c r="D1180" s="4"/>
      <c r="H1180" s="1"/>
      <c r="I1180" s="1"/>
      <c r="Q1180" s="1"/>
      <c r="R1180" s="1"/>
      <c r="U1180" s="125"/>
      <c r="V1180" s="111"/>
      <c r="W1180" s="112"/>
      <c r="X1180" s="113"/>
      <c r="Z1180" s="1"/>
      <c r="AA1180" s="1"/>
    </row>
    <row r="1181">
      <c r="D1181" s="4"/>
      <c r="H1181" s="1"/>
      <c r="I1181" s="1"/>
      <c r="Q1181" s="1"/>
      <c r="R1181" s="1"/>
      <c r="U1181" s="125"/>
      <c r="V1181" s="111"/>
      <c r="W1181" s="112"/>
      <c r="X1181" s="113"/>
      <c r="Z1181" s="1"/>
      <c r="AA1181" s="1"/>
    </row>
    <row r="1182">
      <c r="D1182" s="4"/>
      <c r="H1182" s="1"/>
      <c r="I1182" s="1"/>
      <c r="Q1182" s="1"/>
      <c r="R1182" s="1"/>
      <c r="U1182" s="125"/>
      <c r="V1182" s="111"/>
      <c r="W1182" s="112"/>
      <c r="X1182" s="113"/>
      <c r="Z1182" s="1"/>
      <c r="AA1182" s="1"/>
    </row>
    <row r="1183">
      <c r="D1183" s="4"/>
      <c r="H1183" s="1"/>
      <c r="I1183" s="1"/>
      <c r="Q1183" s="1"/>
      <c r="R1183" s="1"/>
      <c r="U1183" s="125"/>
      <c r="V1183" s="111"/>
      <c r="W1183" s="112"/>
      <c r="X1183" s="113"/>
      <c r="Z1183" s="1"/>
      <c r="AA1183" s="1"/>
    </row>
    <row r="1184">
      <c r="D1184" s="4"/>
      <c r="H1184" s="1"/>
      <c r="I1184" s="1"/>
      <c r="Q1184" s="1"/>
      <c r="R1184" s="1"/>
      <c r="U1184" s="125"/>
      <c r="V1184" s="111"/>
      <c r="W1184" s="112"/>
      <c r="X1184" s="113"/>
      <c r="Z1184" s="1"/>
      <c r="AA1184" s="1"/>
    </row>
    <row r="1185">
      <c r="D1185" s="4"/>
      <c r="H1185" s="1"/>
      <c r="I1185" s="1"/>
      <c r="Q1185" s="1"/>
      <c r="R1185" s="1"/>
      <c r="U1185" s="125"/>
      <c r="V1185" s="111"/>
      <c r="W1185" s="112"/>
      <c r="X1185" s="113"/>
      <c r="Z1185" s="1"/>
      <c r="AA1185" s="1"/>
    </row>
    <row r="1186">
      <c r="D1186" s="4"/>
      <c r="H1186" s="1"/>
      <c r="I1186" s="1"/>
      <c r="Q1186" s="1"/>
      <c r="R1186" s="1"/>
      <c r="U1186" s="125"/>
      <c r="V1186" s="111"/>
      <c r="W1186" s="112"/>
      <c r="X1186" s="113"/>
      <c r="Z1186" s="1"/>
      <c r="AA1186" s="1"/>
    </row>
    <row r="1187">
      <c r="D1187" s="4"/>
      <c r="H1187" s="1"/>
      <c r="I1187" s="1"/>
      <c r="Q1187" s="1"/>
      <c r="R1187" s="1"/>
      <c r="U1187" s="125"/>
      <c r="V1187" s="111"/>
      <c r="W1187" s="112"/>
      <c r="X1187" s="113"/>
      <c r="Z1187" s="1"/>
      <c r="AA1187" s="1"/>
    </row>
    <row r="1188">
      <c r="D1188" s="4"/>
      <c r="H1188" s="1"/>
      <c r="I1188" s="1"/>
      <c r="Q1188" s="1"/>
      <c r="R1188" s="1"/>
      <c r="U1188" s="125"/>
      <c r="V1188" s="111"/>
      <c r="W1188" s="112"/>
      <c r="X1188" s="113"/>
      <c r="Z1188" s="1"/>
      <c r="AA1188" s="1"/>
    </row>
    <row r="1189">
      <c r="D1189" s="4"/>
      <c r="H1189" s="1"/>
      <c r="I1189" s="1"/>
      <c r="Q1189" s="1"/>
      <c r="R1189" s="1"/>
      <c r="U1189" s="125"/>
      <c r="V1189" s="111"/>
      <c r="W1189" s="112"/>
      <c r="X1189" s="113"/>
      <c r="Z1189" s="1"/>
      <c r="AA1189" s="1"/>
    </row>
    <row r="1190">
      <c r="D1190" s="4"/>
      <c r="H1190" s="1"/>
      <c r="I1190" s="1"/>
      <c r="Q1190" s="1"/>
      <c r="R1190" s="1"/>
      <c r="U1190" s="125"/>
      <c r="V1190" s="111"/>
      <c r="W1190" s="112"/>
      <c r="X1190" s="113"/>
      <c r="Z1190" s="1"/>
      <c r="AA1190" s="1"/>
    </row>
    <row r="1191">
      <c r="D1191" s="4"/>
      <c r="H1191" s="1"/>
      <c r="I1191" s="1"/>
      <c r="Q1191" s="1"/>
      <c r="R1191" s="1"/>
      <c r="U1191" s="125"/>
      <c r="V1191" s="111"/>
      <c r="W1191" s="112"/>
      <c r="X1191" s="113"/>
      <c r="Z1191" s="1"/>
      <c r="AA1191" s="1"/>
    </row>
    <row r="1192">
      <c r="D1192" s="4"/>
      <c r="H1192" s="1"/>
      <c r="I1192" s="1"/>
      <c r="Q1192" s="1"/>
      <c r="R1192" s="1"/>
      <c r="U1192" s="125"/>
      <c r="V1192" s="111"/>
      <c r="W1192" s="112"/>
      <c r="X1192" s="113"/>
      <c r="Z1192" s="1"/>
      <c r="AA1192" s="1"/>
    </row>
    <row r="1193">
      <c r="D1193" s="4"/>
      <c r="H1193" s="1"/>
      <c r="I1193" s="1"/>
      <c r="Q1193" s="1"/>
      <c r="R1193" s="1"/>
      <c r="U1193" s="125"/>
      <c r="V1193" s="111"/>
      <c r="W1193" s="112"/>
      <c r="X1193" s="113"/>
      <c r="Z1193" s="1"/>
      <c r="AA1193" s="1"/>
    </row>
    <row r="1194">
      <c r="D1194" s="4"/>
      <c r="H1194" s="1"/>
      <c r="I1194" s="1"/>
      <c r="Q1194" s="1"/>
      <c r="R1194" s="1"/>
      <c r="U1194" s="125"/>
      <c r="V1194" s="111"/>
      <c r="W1194" s="112"/>
      <c r="X1194" s="113"/>
      <c r="Z1194" s="1"/>
      <c r="AA1194" s="1"/>
    </row>
    <row r="1195">
      <c r="D1195" s="4"/>
      <c r="H1195" s="1"/>
      <c r="I1195" s="1"/>
      <c r="Q1195" s="1"/>
      <c r="R1195" s="1"/>
      <c r="U1195" s="125"/>
      <c r="V1195" s="111"/>
      <c r="W1195" s="112"/>
      <c r="X1195" s="113"/>
      <c r="Z1195" s="1"/>
      <c r="AA1195" s="1"/>
    </row>
    <row r="1196">
      <c r="D1196" s="4"/>
      <c r="H1196" s="1"/>
      <c r="I1196" s="1"/>
      <c r="Q1196" s="1"/>
      <c r="R1196" s="1"/>
      <c r="U1196" s="125"/>
      <c r="V1196" s="111"/>
      <c r="W1196" s="112"/>
      <c r="X1196" s="113"/>
      <c r="Z1196" s="1"/>
      <c r="AA1196" s="1"/>
    </row>
    <row r="1197">
      <c r="D1197" s="4"/>
      <c r="H1197" s="1"/>
      <c r="I1197" s="1"/>
      <c r="Q1197" s="1"/>
      <c r="R1197" s="1"/>
      <c r="U1197" s="125"/>
      <c r="V1197" s="111"/>
      <c r="W1197" s="112"/>
      <c r="X1197" s="113"/>
      <c r="Z1197" s="1"/>
      <c r="AA1197" s="1"/>
    </row>
    <row r="1198">
      <c r="D1198" s="4"/>
      <c r="H1198" s="1"/>
      <c r="I1198" s="1"/>
      <c r="Q1198" s="1"/>
      <c r="R1198" s="1"/>
      <c r="U1198" s="125"/>
      <c r="V1198" s="111"/>
      <c r="W1198" s="112"/>
      <c r="X1198" s="113"/>
      <c r="Z1198" s="1"/>
      <c r="AA1198" s="1"/>
    </row>
    <row r="1199">
      <c r="D1199" s="4"/>
      <c r="H1199" s="1"/>
      <c r="I1199" s="1"/>
      <c r="Q1199" s="1"/>
      <c r="R1199" s="1"/>
      <c r="U1199" s="125"/>
      <c r="V1199" s="111"/>
      <c r="W1199" s="112"/>
      <c r="X1199" s="113"/>
      <c r="Z1199" s="1"/>
      <c r="AA1199" s="1"/>
    </row>
    <row r="1200">
      <c r="D1200" s="4"/>
      <c r="H1200" s="1"/>
      <c r="I1200" s="1"/>
      <c r="Q1200" s="1"/>
      <c r="R1200" s="1"/>
      <c r="U1200" s="125"/>
      <c r="V1200" s="111"/>
      <c r="W1200" s="112"/>
      <c r="X1200" s="113"/>
      <c r="Z1200" s="1"/>
      <c r="AA1200" s="1"/>
    </row>
    <row r="1201">
      <c r="D1201" s="4"/>
      <c r="H1201" s="1"/>
      <c r="I1201" s="1"/>
      <c r="Q1201" s="1"/>
      <c r="R1201" s="1"/>
      <c r="U1201" s="125"/>
      <c r="V1201" s="111"/>
      <c r="W1201" s="112"/>
      <c r="X1201" s="113"/>
      <c r="Z1201" s="1"/>
      <c r="AA1201" s="1"/>
    </row>
    <row r="1202">
      <c r="D1202" s="4"/>
      <c r="H1202" s="1"/>
      <c r="I1202" s="1"/>
      <c r="Q1202" s="1"/>
      <c r="R1202" s="1"/>
      <c r="U1202" s="125"/>
      <c r="V1202" s="111"/>
      <c r="W1202" s="112"/>
      <c r="X1202" s="113"/>
      <c r="Z1202" s="1"/>
      <c r="AA1202" s="1"/>
    </row>
    <row r="1203">
      <c r="D1203" s="4"/>
      <c r="H1203" s="1"/>
      <c r="I1203" s="1"/>
      <c r="Q1203" s="1"/>
      <c r="R1203" s="1"/>
      <c r="U1203" s="125"/>
      <c r="V1203" s="111"/>
      <c r="W1203" s="112"/>
      <c r="X1203" s="113"/>
      <c r="Z1203" s="1"/>
      <c r="AA1203" s="1"/>
    </row>
    <row r="1204">
      <c r="D1204" s="4"/>
      <c r="H1204" s="1"/>
      <c r="I1204" s="1"/>
      <c r="Q1204" s="1"/>
      <c r="R1204" s="1"/>
      <c r="U1204" s="125"/>
      <c r="V1204" s="111"/>
      <c r="W1204" s="112"/>
      <c r="X1204" s="113"/>
      <c r="Z1204" s="1"/>
      <c r="AA1204" s="1"/>
    </row>
    <row r="1205">
      <c r="D1205" s="4"/>
      <c r="H1205" s="1"/>
      <c r="I1205" s="1"/>
      <c r="Q1205" s="1"/>
      <c r="R1205" s="1"/>
      <c r="U1205" s="125"/>
      <c r="V1205" s="111"/>
      <c r="W1205" s="112"/>
      <c r="X1205" s="113"/>
      <c r="Z1205" s="1"/>
      <c r="AA1205" s="1"/>
    </row>
    <row r="1206">
      <c r="D1206" s="4"/>
      <c r="H1206" s="1"/>
      <c r="I1206" s="1"/>
      <c r="Q1206" s="1"/>
      <c r="R1206" s="1"/>
      <c r="U1206" s="125"/>
      <c r="V1206" s="111"/>
      <c r="W1206" s="112"/>
      <c r="X1206" s="113"/>
      <c r="Z1206" s="1"/>
      <c r="AA1206" s="1"/>
    </row>
    <row r="1207">
      <c r="D1207" s="4"/>
      <c r="H1207" s="1"/>
      <c r="I1207" s="1"/>
      <c r="Q1207" s="1"/>
      <c r="R1207" s="1"/>
      <c r="U1207" s="125"/>
      <c r="V1207" s="111"/>
      <c r="W1207" s="112"/>
      <c r="X1207" s="113"/>
      <c r="Z1207" s="1"/>
      <c r="AA1207" s="1"/>
    </row>
    <row r="1208">
      <c r="D1208" s="4"/>
      <c r="H1208" s="1"/>
      <c r="I1208" s="1"/>
      <c r="Q1208" s="1"/>
      <c r="R1208" s="1"/>
      <c r="U1208" s="125"/>
      <c r="V1208" s="111"/>
      <c r="W1208" s="112"/>
      <c r="X1208" s="113"/>
      <c r="Z1208" s="1"/>
      <c r="AA1208" s="1"/>
    </row>
    <row r="1209">
      <c r="D1209" s="4"/>
      <c r="H1209" s="1"/>
      <c r="I1209" s="1"/>
      <c r="Q1209" s="1"/>
      <c r="R1209" s="1"/>
      <c r="U1209" s="125"/>
      <c r="V1209" s="111"/>
      <c r="W1209" s="112"/>
      <c r="X1209" s="113"/>
      <c r="Z1209" s="1"/>
      <c r="AA1209" s="1"/>
    </row>
    <row r="1210">
      <c r="D1210" s="4"/>
      <c r="H1210" s="1"/>
      <c r="I1210" s="1"/>
      <c r="Q1210" s="1"/>
      <c r="R1210" s="1"/>
      <c r="U1210" s="125"/>
      <c r="V1210" s="111"/>
      <c r="W1210" s="112"/>
      <c r="X1210" s="113"/>
      <c r="Z1210" s="1"/>
      <c r="AA1210" s="1"/>
    </row>
    <row r="1211">
      <c r="D1211" s="4"/>
      <c r="H1211" s="1"/>
      <c r="I1211" s="1"/>
      <c r="Q1211" s="1"/>
      <c r="R1211" s="1"/>
      <c r="U1211" s="125"/>
      <c r="V1211" s="111"/>
      <c r="W1211" s="112"/>
      <c r="X1211" s="113"/>
      <c r="Z1211" s="1"/>
      <c r="AA1211" s="1"/>
    </row>
    <row r="1212">
      <c r="D1212" s="4"/>
      <c r="H1212" s="1"/>
      <c r="I1212" s="1"/>
      <c r="Q1212" s="1"/>
      <c r="R1212" s="1"/>
      <c r="U1212" s="125"/>
      <c r="V1212" s="111"/>
      <c r="W1212" s="112"/>
      <c r="X1212" s="113"/>
      <c r="Z1212" s="1"/>
      <c r="AA1212" s="1"/>
    </row>
    <row r="1213">
      <c r="D1213" s="4"/>
      <c r="H1213" s="1"/>
      <c r="I1213" s="1"/>
      <c r="Q1213" s="1"/>
      <c r="R1213" s="1"/>
      <c r="U1213" s="125"/>
      <c r="V1213" s="111"/>
      <c r="W1213" s="112"/>
      <c r="X1213" s="113"/>
      <c r="Z1213" s="1"/>
      <c r="AA1213" s="1"/>
    </row>
    <row r="1214">
      <c r="D1214" s="4"/>
      <c r="H1214" s="1"/>
      <c r="I1214" s="1"/>
      <c r="Q1214" s="1"/>
      <c r="R1214" s="1"/>
      <c r="U1214" s="125"/>
      <c r="V1214" s="111"/>
      <c r="W1214" s="112"/>
      <c r="X1214" s="113"/>
      <c r="Z1214" s="1"/>
      <c r="AA1214" s="1"/>
    </row>
    <row r="1215">
      <c r="D1215" s="4"/>
      <c r="H1215" s="1"/>
      <c r="I1215" s="1"/>
      <c r="Q1215" s="1"/>
      <c r="R1215" s="1"/>
      <c r="U1215" s="125"/>
      <c r="V1215" s="111"/>
      <c r="W1215" s="112"/>
      <c r="X1215" s="113"/>
      <c r="Z1215" s="1"/>
      <c r="AA1215" s="1"/>
    </row>
    <row r="1216">
      <c r="D1216" s="4"/>
      <c r="H1216" s="1"/>
      <c r="I1216" s="1"/>
      <c r="Q1216" s="1"/>
      <c r="R1216" s="1"/>
      <c r="U1216" s="125"/>
      <c r="V1216" s="111"/>
      <c r="W1216" s="112"/>
      <c r="X1216" s="113"/>
      <c r="Z1216" s="1"/>
      <c r="AA1216" s="1"/>
    </row>
    <row r="1217">
      <c r="D1217" s="4"/>
      <c r="H1217" s="1"/>
      <c r="I1217" s="1"/>
      <c r="Q1217" s="1"/>
      <c r="R1217" s="1"/>
      <c r="U1217" s="125"/>
      <c r="V1217" s="111"/>
      <c r="W1217" s="112"/>
      <c r="X1217" s="113"/>
      <c r="Z1217" s="1"/>
      <c r="AA1217" s="1"/>
    </row>
    <row r="1218">
      <c r="D1218" s="4"/>
      <c r="H1218" s="1"/>
      <c r="I1218" s="1"/>
      <c r="Q1218" s="1"/>
      <c r="R1218" s="1"/>
      <c r="U1218" s="125"/>
      <c r="V1218" s="111"/>
      <c r="W1218" s="112"/>
      <c r="X1218" s="113"/>
      <c r="Z1218" s="1"/>
      <c r="AA1218" s="1"/>
    </row>
    <row r="1219">
      <c r="D1219" s="4"/>
      <c r="H1219" s="1"/>
      <c r="I1219" s="1"/>
      <c r="Q1219" s="1"/>
      <c r="R1219" s="1"/>
      <c r="U1219" s="125"/>
      <c r="V1219" s="111"/>
      <c r="W1219" s="112"/>
      <c r="X1219" s="113"/>
      <c r="Z1219" s="1"/>
      <c r="AA1219" s="1"/>
    </row>
    <row r="1220">
      <c r="D1220" s="4"/>
      <c r="H1220" s="1"/>
      <c r="I1220" s="1"/>
      <c r="Q1220" s="1"/>
      <c r="R1220" s="1"/>
      <c r="U1220" s="125"/>
      <c r="V1220" s="111"/>
      <c r="W1220" s="112"/>
      <c r="X1220" s="113"/>
      <c r="Z1220" s="1"/>
      <c r="AA1220" s="1"/>
    </row>
    <row r="1221">
      <c r="D1221" s="4"/>
      <c r="H1221" s="1"/>
      <c r="I1221" s="1"/>
      <c r="Q1221" s="1"/>
      <c r="R1221" s="1"/>
      <c r="U1221" s="125"/>
      <c r="V1221" s="111"/>
      <c r="W1221" s="112"/>
      <c r="X1221" s="113"/>
      <c r="Z1221" s="1"/>
      <c r="AA1221" s="1"/>
    </row>
    <row r="1222">
      <c r="D1222" s="4"/>
      <c r="H1222" s="1"/>
      <c r="I1222" s="1"/>
      <c r="Q1222" s="1"/>
      <c r="R1222" s="1"/>
      <c r="U1222" s="125"/>
      <c r="V1222" s="111"/>
      <c r="W1222" s="112"/>
      <c r="X1222" s="113"/>
      <c r="Z1222" s="1"/>
      <c r="AA1222" s="1"/>
    </row>
    <row r="1223">
      <c r="D1223" s="4"/>
      <c r="H1223" s="1"/>
      <c r="I1223" s="1"/>
      <c r="Q1223" s="1"/>
      <c r="R1223" s="1"/>
      <c r="U1223" s="125"/>
      <c r="V1223" s="111"/>
      <c r="W1223" s="112"/>
      <c r="X1223" s="113"/>
      <c r="Z1223" s="1"/>
      <c r="AA1223" s="1"/>
    </row>
    <row r="1224">
      <c r="D1224" s="4"/>
      <c r="H1224" s="1"/>
      <c r="I1224" s="1"/>
      <c r="Q1224" s="1"/>
      <c r="R1224" s="1"/>
      <c r="U1224" s="125"/>
      <c r="V1224" s="111"/>
      <c r="W1224" s="112"/>
      <c r="X1224" s="113"/>
      <c r="Z1224" s="1"/>
      <c r="AA1224" s="1"/>
    </row>
    <row r="1225">
      <c r="D1225" s="4"/>
      <c r="H1225" s="1"/>
      <c r="I1225" s="1"/>
      <c r="Q1225" s="1"/>
      <c r="R1225" s="1"/>
      <c r="U1225" s="125"/>
      <c r="V1225" s="111"/>
      <c r="W1225" s="112"/>
      <c r="X1225" s="113"/>
      <c r="Z1225" s="1"/>
      <c r="AA1225" s="1"/>
    </row>
    <row r="1226">
      <c r="D1226" s="4"/>
      <c r="H1226" s="1"/>
      <c r="I1226" s="1"/>
      <c r="Q1226" s="1"/>
      <c r="R1226" s="1"/>
      <c r="U1226" s="125"/>
      <c r="V1226" s="111"/>
      <c r="W1226" s="112"/>
      <c r="X1226" s="113"/>
      <c r="Z1226" s="1"/>
      <c r="AA1226" s="1"/>
    </row>
    <row r="1227">
      <c r="D1227" s="4"/>
      <c r="H1227" s="1"/>
      <c r="I1227" s="1"/>
      <c r="Q1227" s="1"/>
      <c r="R1227" s="1"/>
      <c r="U1227" s="125"/>
      <c r="V1227" s="111"/>
      <c r="W1227" s="112"/>
      <c r="X1227" s="113"/>
      <c r="Z1227" s="1"/>
      <c r="AA1227" s="1"/>
    </row>
    <row r="1228">
      <c r="D1228" s="4"/>
      <c r="H1228" s="1"/>
      <c r="I1228" s="1"/>
      <c r="Q1228" s="1"/>
      <c r="R1228" s="1"/>
      <c r="U1228" s="125"/>
      <c r="V1228" s="111"/>
      <c r="W1228" s="112"/>
      <c r="X1228" s="113"/>
      <c r="Z1228" s="1"/>
      <c r="AA1228" s="1"/>
    </row>
    <row r="1229">
      <c r="D1229" s="4"/>
      <c r="H1229" s="1"/>
      <c r="I1229" s="1"/>
      <c r="Q1229" s="1"/>
      <c r="R1229" s="1"/>
      <c r="U1229" s="125"/>
      <c r="V1229" s="111"/>
      <c r="W1229" s="112"/>
      <c r="X1229" s="113"/>
      <c r="Z1229" s="1"/>
      <c r="AA1229" s="1"/>
    </row>
    <row r="1230">
      <c r="D1230" s="4"/>
      <c r="H1230" s="1"/>
      <c r="I1230" s="1"/>
      <c r="Q1230" s="1"/>
      <c r="R1230" s="1"/>
      <c r="U1230" s="125"/>
      <c r="V1230" s="111"/>
      <c r="W1230" s="112"/>
      <c r="X1230" s="113"/>
      <c r="Z1230" s="1"/>
      <c r="AA1230" s="1"/>
    </row>
    <row r="1231">
      <c r="D1231" s="4"/>
      <c r="H1231" s="1"/>
      <c r="I1231" s="1"/>
      <c r="Q1231" s="1"/>
      <c r="R1231" s="1"/>
      <c r="U1231" s="125"/>
      <c r="V1231" s="111"/>
      <c r="W1231" s="112"/>
      <c r="X1231" s="113"/>
      <c r="Z1231" s="1"/>
      <c r="AA1231" s="1"/>
    </row>
    <row r="1232">
      <c r="D1232" s="4"/>
      <c r="H1232" s="1"/>
      <c r="I1232" s="1"/>
      <c r="Q1232" s="1"/>
      <c r="R1232" s="1"/>
      <c r="U1232" s="125"/>
      <c r="V1232" s="111"/>
      <c r="W1232" s="112"/>
      <c r="X1232" s="113"/>
      <c r="Z1232" s="1"/>
      <c r="AA1232" s="1"/>
    </row>
    <row r="1233">
      <c r="D1233" s="4"/>
      <c r="H1233" s="1"/>
      <c r="I1233" s="1"/>
      <c r="Q1233" s="1"/>
      <c r="R1233" s="1"/>
      <c r="U1233" s="125"/>
      <c r="V1233" s="111"/>
      <c r="W1233" s="112"/>
      <c r="X1233" s="113"/>
      <c r="Z1233" s="1"/>
      <c r="AA1233" s="1"/>
    </row>
    <row r="1234">
      <c r="D1234" s="4"/>
      <c r="H1234" s="1"/>
      <c r="I1234" s="1"/>
      <c r="Q1234" s="1"/>
      <c r="R1234" s="1"/>
      <c r="U1234" s="125"/>
      <c r="V1234" s="111"/>
      <c r="W1234" s="112"/>
      <c r="X1234" s="113"/>
      <c r="Z1234" s="1"/>
      <c r="AA1234" s="1"/>
    </row>
    <row r="1235">
      <c r="D1235" s="4"/>
      <c r="H1235" s="1"/>
      <c r="I1235" s="1"/>
      <c r="Q1235" s="1"/>
      <c r="R1235" s="1"/>
      <c r="U1235" s="125"/>
      <c r="V1235" s="111"/>
      <c r="W1235" s="112"/>
      <c r="X1235" s="113"/>
      <c r="Z1235" s="1"/>
      <c r="AA1235" s="1"/>
    </row>
    <row r="1236">
      <c r="D1236" s="4"/>
      <c r="H1236" s="1"/>
      <c r="I1236" s="1"/>
      <c r="Q1236" s="1"/>
      <c r="R1236" s="1"/>
      <c r="U1236" s="125"/>
      <c r="V1236" s="111"/>
      <c r="W1236" s="112"/>
      <c r="X1236" s="113"/>
      <c r="Z1236" s="1"/>
      <c r="AA1236" s="1"/>
    </row>
    <row r="1237">
      <c r="D1237" s="4"/>
      <c r="H1237" s="1"/>
      <c r="I1237" s="1"/>
      <c r="Q1237" s="1"/>
      <c r="R1237" s="1"/>
      <c r="U1237" s="125"/>
      <c r="V1237" s="111"/>
      <c r="W1237" s="112"/>
      <c r="X1237" s="113"/>
      <c r="Z1237" s="1"/>
      <c r="AA1237" s="1"/>
    </row>
    <row r="1238">
      <c r="D1238" s="4"/>
      <c r="H1238" s="1"/>
      <c r="I1238" s="1"/>
      <c r="Q1238" s="1"/>
      <c r="R1238" s="1"/>
      <c r="U1238" s="125"/>
      <c r="V1238" s="111"/>
      <c r="W1238" s="112"/>
      <c r="X1238" s="113"/>
      <c r="Z1238" s="1"/>
      <c r="AA1238" s="1"/>
    </row>
    <row r="1239">
      <c r="D1239" s="4"/>
      <c r="H1239" s="1"/>
      <c r="I1239" s="1"/>
      <c r="Q1239" s="1"/>
      <c r="R1239" s="1"/>
      <c r="U1239" s="125"/>
      <c r="V1239" s="111"/>
      <c r="W1239" s="112"/>
      <c r="X1239" s="113"/>
      <c r="Z1239" s="1"/>
      <c r="AA1239" s="1"/>
    </row>
    <row r="1240">
      <c r="D1240" s="4"/>
      <c r="H1240" s="1"/>
      <c r="I1240" s="1"/>
      <c r="Q1240" s="1"/>
      <c r="R1240" s="1"/>
      <c r="U1240" s="125"/>
      <c r="V1240" s="111"/>
      <c r="W1240" s="112"/>
      <c r="X1240" s="113"/>
      <c r="Z1240" s="1"/>
      <c r="AA1240" s="1"/>
    </row>
    <row r="1241">
      <c r="D1241" s="4"/>
      <c r="H1241" s="1"/>
      <c r="I1241" s="1"/>
      <c r="Q1241" s="1"/>
      <c r="R1241" s="1"/>
      <c r="U1241" s="125"/>
      <c r="V1241" s="111"/>
      <c r="W1241" s="112"/>
      <c r="X1241" s="113"/>
      <c r="Z1241" s="1"/>
      <c r="AA1241" s="1"/>
    </row>
    <row r="1242">
      <c r="D1242" s="4"/>
      <c r="H1242" s="1"/>
      <c r="I1242" s="1"/>
      <c r="Q1242" s="1"/>
      <c r="R1242" s="1"/>
      <c r="U1242" s="125"/>
      <c r="V1242" s="111"/>
      <c r="W1242" s="112"/>
      <c r="X1242" s="113"/>
      <c r="Z1242" s="1"/>
      <c r="AA1242" s="1"/>
    </row>
    <row r="1243">
      <c r="D1243" s="4"/>
      <c r="H1243" s="1"/>
      <c r="I1243" s="1"/>
      <c r="Q1243" s="1"/>
      <c r="R1243" s="1"/>
      <c r="U1243" s="125"/>
      <c r="V1243" s="111"/>
      <c r="W1243" s="112"/>
      <c r="X1243" s="113"/>
      <c r="Z1243" s="1"/>
      <c r="AA1243" s="1"/>
    </row>
    <row r="1244">
      <c r="D1244" s="4"/>
      <c r="H1244" s="1"/>
      <c r="I1244" s="1"/>
      <c r="Q1244" s="1"/>
      <c r="R1244" s="1"/>
      <c r="U1244" s="125"/>
      <c r="V1244" s="111"/>
      <c r="W1244" s="112"/>
      <c r="X1244" s="113"/>
      <c r="Z1244" s="1"/>
      <c r="AA1244" s="1"/>
    </row>
    <row r="1245">
      <c r="D1245" s="4"/>
      <c r="H1245" s="1"/>
      <c r="I1245" s="1"/>
      <c r="Q1245" s="1"/>
      <c r="R1245" s="1"/>
      <c r="U1245" s="125"/>
      <c r="V1245" s="111"/>
      <c r="W1245" s="112"/>
      <c r="X1245" s="113"/>
      <c r="Z1245" s="1"/>
      <c r="AA1245" s="1"/>
    </row>
    <row r="1246">
      <c r="D1246" s="4"/>
      <c r="H1246" s="1"/>
      <c r="I1246" s="1"/>
      <c r="Q1246" s="1"/>
      <c r="R1246" s="1"/>
      <c r="U1246" s="125"/>
      <c r="V1246" s="111"/>
      <c r="W1246" s="112"/>
      <c r="X1246" s="113"/>
      <c r="Z1246" s="1"/>
      <c r="AA1246" s="1"/>
    </row>
    <row r="1247">
      <c r="D1247" s="4"/>
      <c r="H1247" s="1"/>
      <c r="I1247" s="1"/>
      <c r="Q1247" s="1"/>
      <c r="R1247" s="1"/>
      <c r="U1247" s="125"/>
      <c r="V1247" s="111"/>
      <c r="W1247" s="112"/>
      <c r="X1247" s="113"/>
      <c r="Z1247" s="1"/>
      <c r="AA1247" s="1"/>
    </row>
    <row r="1248">
      <c r="D1248" s="4"/>
      <c r="H1248" s="1"/>
      <c r="I1248" s="1"/>
      <c r="Q1248" s="1"/>
      <c r="R1248" s="1"/>
      <c r="U1248" s="125"/>
      <c r="V1248" s="111"/>
      <c r="W1248" s="112"/>
      <c r="X1248" s="113"/>
      <c r="Z1248" s="1"/>
      <c r="AA1248" s="1"/>
    </row>
    <row r="1249">
      <c r="D1249" s="4"/>
      <c r="H1249" s="1"/>
      <c r="I1249" s="1"/>
      <c r="Q1249" s="1"/>
      <c r="R1249" s="1"/>
      <c r="U1249" s="125"/>
      <c r="V1249" s="111"/>
      <c r="W1249" s="112"/>
      <c r="X1249" s="113"/>
      <c r="Z1249" s="1"/>
      <c r="AA1249" s="1"/>
    </row>
    <row r="1250">
      <c r="D1250" s="4"/>
      <c r="H1250" s="1"/>
      <c r="I1250" s="1"/>
      <c r="Q1250" s="1"/>
      <c r="R1250" s="1"/>
      <c r="U1250" s="125"/>
      <c r="V1250" s="111"/>
      <c r="W1250" s="112"/>
      <c r="X1250" s="113"/>
      <c r="Z1250" s="1"/>
      <c r="AA1250" s="1"/>
    </row>
    <row r="1251">
      <c r="D1251" s="4"/>
      <c r="H1251" s="1"/>
      <c r="I1251" s="1"/>
      <c r="Q1251" s="1"/>
      <c r="R1251" s="1"/>
      <c r="U1251" s="125"/>
      <c r="V1251" s="111"/>
      <c r="W1251" s="112"/>
      <c r="X1251" s="113"/>
      <c r="Z1251" s="1"/>
      <c r="AA1251" s="1"/>
    </row>
    <row r="1252">
      <c r="D1252" s="4"/>
      <c r="H1252" s="1"/>
      <c r="I1252" s="1"/>
      <c r="Q1252" s="1"/>
      <c r="R1252" s="1"/>
      <c r="U1252" s="125"/>
      <c r="V1252" s="111"/>
      <c r="W1252" s="112"/>
      <c r="X1252" s="113"/>
      <c r="Z1252" s="1"/>
      <c r="AA1252" s="1"/>
    </row>
    <row r="1253">
      <c r="D1253" s="4"/>
      <c r="H1253" s="1"/>
      <c r="I1253" s="1"/>
      <c r="Q1253" s="1"/>
      <c r="R1253" s="1"/>
      <c r="U1253" s="125"/>
      <c r="V1253" s="111"/>
      <c r="W1253" s="112"/>
      <c r="X1253" s="113"/>
      <c r="Z1253" s="1"/>
      <c r="AA1253" s="1"/>
    </row>
    <row r="1254">
      <c r="D1254" s="4"/>
      <c r="H1254" s="1"/>
      <c r="I1254" s="1"/>
      <c r="Q1254" s="1"/>
      <c r="R1254" s="1"/>
      <c r="U1254" s="125"/>
      <c r="V1254" s="111"/>
      <c r="W1254" s="112"/>
      <c r="X1254" s="113"/>
      <c r="Z1254" s="1"/>
      <c r="AA1254" s="1"/>
    </row>
    <row r="1255">
      <c r="D1255" s="4"/>
      <c r="H1255" s="1"/>
      <c r="I1255" s="1"/>
      <c r="Q1255" s="1"/>
      <c r="R1255" s="1"/>
      <c r="U1255" s="125"/>
      <c r="V1255" s="111"/>
      <c r="W1255" s="112"/>
      <c r="X1255" s="113"/>
      <c r="Z1255" s="1"/>
      <c r="AA1255" s="1"/>
    </row>
    <row r="1256">
      <c r="D1256" s="4"/>
      <c r="H1256" s="1"/>
      <c r="I1256" s="1"/>
      <c r="Q1256" s="1"/>
      <c r="R1256" s="1"/>
      <c r="U1256" s="125"/>
      <c r="V1256" s="111"/>
      <c r="W1256" s="112"/>
      <c r="X1256" s="113"/>
      <c r="Z1256" s="1"/>
      <c r="AA1256" s="1"/>
    </row>
    <row r="1257">
      <c r="D1257" s="4"/>
      <c r="H1257" s="1"/>
      <c r="I1257" s="1"/>
      <c r="Q1257" s="1"/>
      <c r="R1257" s="1"/>
      <c r="U1257" s="125"/>
      <c r="V1257" s="111"/>
      <c r="W1257" s="112"/>
      <c r="X1257" s="113"/>
      <c r="Z1257" s="1"/>
      <c r="AA1257" s="1"/>
    </row>
    <row r="1258">
      <c r="D1258" s="4"/>
      <c r="H1258" s="1"/>
      <c r="I1258" s="1"/>
      <c r="Q1258" s="1"/>
      <c r="R1258" s="1"/>
      <c r="U1258" s="125"/>
      <c r="V1258" s="111"/>
      <c r="W1258" s="112"/>
      <c r="X1258" s="113"/>
      <c r="Z1258" s="1"/>
      <c r="AA1258" s="1"/>
    </row>
    <row r="1259">
      <c r="D1259" s="4"/>
      <c r="H1259" s="1"/>
      <c r="I1259" s="1"/>
      <c r="Q1259" s="1"/>
      <c r="R1259" s="1"/>
      <c r="U1259" s="125"/>
      <c r="V1259" s="111"/>
      <c r="W1259" s="112"/>
      <c r="X1259" s="113"/>
      <c r="Z1259" s="1"/>
      <c r="AA1259" s="1"/>
    </row>
    <row r="1260">
      <c r="D1260" s="4"/>
      <c r="H1260" s="1"/>
      <c r="I1260" s="1"/>
      <c r="Q1260" s="1"/>
      <c r="R1260" s="1"/>
      <c r="U1260" s="125"/>
      <c r="V1260" s="111"/>
      <c r="W1260" s="112"/>
      <c r="X1260" s="113"/>
      <c r="Z1260" s="1"/>
      <c r="AA1260" s="1"/>
    </row>
    <row r="1261">
      <c r="D1261" s="4"/>
      <c r="H1261" s="1"/>
      <c r="I1261" s="1"/>
      <c r="Q1261" s="1"/>
      <c r="R1261" s="1"/>
      <c r="U1261" s="125"/>
      <c r="V1261" s="111"/>
      <c r="W1261" s="112"/>
      <c r="X1261" s="113"/>
      <c r="Z1261" s="1"/>
      <c r="AA1261" s="1"/>
    </row>
    <row r="1262">
      <c r="D1262" s="4"/>
      <c r="H1262" s="1"/>
      <c r="I1262" s="1"/>
      <c r="Q1262" s="1"/>
      <c r="R1262" s="1"/>
      <c r="U1262" s="125"/>
      <c r="V1262" s="111"/>
      <c r="W1262" s="112"/>
      <c r="X1262" s="113"/>
      <c r="Z1262" s="1"/>
      <c r="AA1262" s="1"/>
    </row>
    <row r="1263">
      <c r="D1263" s="4"/>
      <c r="H1263" s="1"/>
      <c r="I1263" s="1"/>
      <c r="Q1263" s="1"/>
      <c r="R1263" s="1"/>
      <c r="U1263" s="125"/>
      <c r="V1263" s="111"/>
      <c r="W1263" s="112"/>
      <c r="X1263" s="113"/>
      <c r="Z1263" s="1"/>
      <c r="AA1263" s="1"/>
    </row>
    <row r="1264">
      <c r="D1264" s="4"/>
      <c r="H1264" s="1"/>
      <c r="I1264" s="1"/>
      <c r="Q1264" s="1"/>
      <c r="R1264" s="1"/>
      <c r="U1264" s="125"/>
      <c r="V1264" s="111"/>
      <c r="W1264" s="112"/>
      <c r="X1264" s="113"/>
      <c r="Z1264" s="1"/>
      <c r="AA1264" s="1"/>
    </row>
    <row r="1265">
      <c r="D1265" s="4"/>
      <c r="H1265" s="1"/>
      <c r="I1265" s="1"/>
      <c r="Q1265" s="1"/>
      <c r="R1265" s="1"/>
      <c r="U1265" s="125"/>
      <c r="V1265" s="111"/>
      <c r="W1265" s="112"/>
      <c r="X1265" s="113"/>
      <c r="Z1265" s="1"/>
      <c r="AA1265" s="1"/>
    </row>
    <row r="1266">
      <c r="D1266" s="4"/>
      <c r="H1266" s="1"/>
      <c r="I1266" s="1"/>
      <c r="Q1266" s="1"/>
      <c r="R1266" s="1"/>
      <c r="U1266" s="125"/>
      <c r="V1266" s="111"/>
      <c r="W1266" s="112"/>
      <c r="X1266" s="113"/>
      <c r="Z1266" s="1"/>
      <c r="AA1266" s="1"/>
    </row>
    <row r="1267">
      <c r="D1267" s="4"/>
      <c r="H1267" s="1"/>
      <c r="I1267" s="1"/>
      <c r="Q1267" s="1"/>
      <c r="R1267" s="1"/>
      <c r="U1267" s="125"/>
      <c r="V1267" s="111"/>
      <c r="W1267" s="112"/>
      <c r="X1267" s="113"/>
      <c r="Z1267" s="1"/>
      <c r="AA1267" s="1"/>
    </row>
    <row r="1268">
      <c r="D1268" s="4"/>
      <c r="H1268" s="1"/>
      <c r="I1268" s="1"/>
      <c r="Q1268" s="1"/>
      <c r="R1268" s="1"/>
      <c r="U1268" s="125"/>
      <c r="V1268" s="111"/>
      <c r="W1268" s="112"/>
      <c r="X1268" s="113"/>
      <c r="Z1268" s="1"/>
      <c r="AA1268" s="1"/>
    </row>
    <row r="1269">
      <c r="D1269" s="4"/>
      <c r="H1269" s="1"/>
      <c r="I1269" s="1"/>
      <c r="Q1269" s="1"/>
      <c r="R1269" s="1"/>
      <c r="U1269" s="125"/>
      <c r="V1269" s="111"/>
      <c r="W1269" s="112"/>
      <c r="X1269" s="113"/>
      <c r="Z1269" s="1"/>
      <c r="AA1269" s="1"/>
    </row>
    <row r="1270">
      <c r="D1270" s="4"/>
      <c r="H1270" s="1"/>
      <c r="I1270" s="1"/>
      <c r="Q1270" s="1"/>
      <c r="R1270" s="1"/>
      <c r="U1270" s="125"/>
      <c r="V1270" s="111"/>
      <c r="W1270" s="112"/>
      <c r="X1270" s="113"/>
      <c r="Z1270" s="1"/>
      <c r="AA1270" s="1"/>
    </row>
    <row r="1271">
      <c r="D1271" s="4"/>
      <c r="H1271" s="1"/>
      <c r="I1271" s="1"/>
      <c r="Q1271" s="1"/>
      <c r="R1271" s="1"/>
      <c r="U1271" s="125"/>
      <c r="V1271" s="111"/>
      <c r="W1271" s="112"/>
      <c r="X1271" s="113"/>
      <c r="Z1271" s="1"/>
      <c r="AA1271" s="1"/>
    </row>
    <row r="1272">
      <c r="D1272" s="4"/>
      <c r="H1272" s="1"/>
      <c r="I1272" s="1"/>
      <c r="Q1272" s="1"/>
      <c r="R1272" s="1"/>
      <c r="U1272" s="125"/>
      <c r="V1272" s="111"/>
      <c r="W1272" s="112"/>
      <c r="X1272" s="113"/>
      <c r="Z1272" s="1"/>
      <c r="AA1272" s="1"/>
    </row>
    <row r="1273">
      <c r="D1273" s="4"/>
      <c r="H1273" s="1"/>
      <c r="I1273" s="1"/>
      <c r="Q1273" s="1"/>
      <c r="R1273" s="1"/>
      <c r="U1273" s="125"/>
      <c r="V1273" s="111"/>
      <c r="W1273" s="112"/>
      <c r="X1273" s="113"/>
      <c r="Z1273" s="1"/>
      <c r="AA1273" s="1"/>
    </row>
    <row r="1274">
      <c r="D1274" s="4"/>
      <c r="H1274" s="1"/>
      <c r="I1274" s="1"/>
      <c r="Q1274" s="1"/>
      <c r="R1274" s="1"/>
      <c r="U1274" s="125"/>
      <c r="V1274" s="111"/>
      <c r="W1274" s="112"/>
      <c r="X1274" s="113"/>
      <c r="Z1274" s="1"/>
      <c r="AA1274" s="1"/>
    </row>
    <row r="1275">
      <c r="D1275" s="4"/>
      <c r="H1275" s="1"/>
      <c r="I1275" s="1"/>
      <c r="Q1275" s="1"/>
      <c r="R1275" s="1"/>
      <c r="U1275" s="125"/>
      <c r="V1275" s="111"/>
      <c r="W1275" s="112"/>
      <c r="X1275" s="113"/>
      <c r="Z1275" s="1"/>
      <c r="AA1275" s="1"/>
    </row>
    <row r="1276">
      <c r="D1276" s="4"/>
      <c r="H1276" s="1"/>
      <c r="I1276" s="1"/>
      <c r="Q1276" s="1"/>
      <c r="R1276" s="1"/>
      <c r="U1276" s="125"/>
      <c r="V1276" s="111"/>
      <c r="W1276" s="112"/>
      <c r="X1276" s="113"/>
      <c r="Z1276" s="1"/>
      <c r="AA1276" s="1"/>
    </row>
    <row r="1277">
      <c r="D1277" s="4"/>
      <c r="H1277" s="1"/>
      <c r="I1277" s="1"/>
      <c r="Q1277" s="1"/>
      <c r="R1277" s="1"/>
      <c r="U1277" s="125"/>
      <c r="V1277" s="111"/>
      <c r="W1277" s="112"/>
      <c r="X1277" s="113"/>
      <c r="Z1277" s="1"/>
      <c r="AA1277" s="1"/>
    </row>
    <row r="1278">
      <c r="D1278" s="4"/>
      <c r="H1278" s="1"/>
      <c r="I1278" s="1"/>
      <c r="Q1278" s="1"/>
      <c r="R1278" s="1"/>
      <c r="U1278" s="125"/>
      <c r="V1278" s="111"/>
      <c r="W1278" s="112"/>
      <c r="X1278" s="113"/>
      <c r="Z1278" s="1"/>
      <c r="AA1278" s="1"/>
    </row>
    <row r="1279">
      <c r="D1279" s="4"/>
      <c r="H1279" s="1"/>
      <c r="I1279" s="1"/>
      <c r="Q1279" s="1"/>
      <c r="R1279" s="1"/>
      <c r="U1279" s="125"/>
      <c r="V1279" s="111"/>
      <c r="W1279" s="112"/>
      <c r="X1279" s="113"/>
      <c r="Z1279" s="1"/>
      <c r="AA1279" s="1"/>
    </row>
    <row r="1280">
      <c r="D1280" s="4"/>
      <c r="H1280" s="1"/>
      <c r="I1280" s="1"/>
      <c r="Q1280" s="1"/>
      <c r="R1280" s="1"/>
      <c r="U1280" s="125"/>
      <c r="V1280" s="111"/>
      <c r="W1280" s="112"/>
      <c r="X1280" s="113"/>
      <c r="Z1280" s="1"/>
      <c r="AA1280" s="1"/>
    </row>
    <row r="1281">
      <c r="D1281" s="4"/>
      <c r="H1281" s="1"/>
      <c r="I1281" s="1"/>
      <c r="Q1281" s="1"/>
      <c r="R1281" s="1"/>
      <c r="U1281" s="125"/>
      <c r="V1281" s="111"/>
      <c r="W1281" s="112"/>
      <c r="X1281" s="113"/>
      <c r="Z1281" s="1"/>
      <c r="AA1281" s="1"/>
    </row>
    <row r="1282">
      <c r="D1282" s="4"/>
      <c r="H1282" s="1"/>
      <c r="I1282" s="1"/>
      <c r="Q1282" s="1"/>
      <c r="R1282" s="1"/>
      <c r="U1282" s="125"/>
      <c r="V1282" s="111"/>
      <c r="W1282" s="112"/>
      <c r="X1282" s="113"/>
      <c r="Z1282" s="1"/>
      <c r="AA1282" s="1"/>
    </row>
    <row r="1283">
      <c r="D1283" s="4"/>
      <c r="H1283" s="1"/>
      <c r="I1283" s="1"/>
      <c r="Q1283" s="1"/>
      <c r="R1283" s="1"/>
      <c r="U1283" s="125"/>
      <c r="V1283" s="111"/>
      <c r="W1283" s="112"/>
      <c r="X1283" s="113"/>
      <c r="Z1283" s="1"/>
      <c r="AA1283" s="1"/>
    </row>
    <row r="1284">
      <c r="D1284" s="4"/>
      <c r="H1284" s="1"/>
      <c r="I1284" s="1"/>
      <c r="Q1284" s="1"/>
      <c r="R1284" s="1"/>
      <c r="U1284" s="125"/>
      <c r="V1284" s="111"/>
      <c r="W1284" s="112"/>
      <c r="X1284" s="113"/>
      <c r="Z1284" s="1"/>
      <c r="AA1284" s="1"/>
    </row>
    <row r="1285">
      <c r="D1285" s="4"/>
      <c r="H1285" s="1"/>
      <c r="I1285" s="1"/>
      <c r="Q1285" s="1"/>
      <c r="R1285" s="1"/>
      <c r="U1285" s="125"/>
      <c r="V1285" s="111"/>
      <c r="W1285" s="112"/>
      <c r="X1285" s="113"/>
      <c r="Z1285" s="1"/>
      <c r="AA1285" s="1"/>
    </row>
    <row r="1286">
      <c r="D1286" s="4"/>
      <c r="H1286" s="1"/>
      <c r="I1286" s="1"/>
      <c r="Q1286" s="1"/>
      <c r="R1286" s="1"/>
      <c r="U1286" s="125"/>
      <c r="V1286" s="111"/>
      <c r="W1286" s="112"/>
      <c r="X1286" s="113"/>
      <c r="Z1286" s="1"/>
      <c r="AA1286" s="1"/>
    </row>
    <row r="1287">
      <c r="D1287" s="4"/>
      <c r="H1287" s="1"/>
      <c r="I1287" s="1"/>
      <c r="Q1287" s="1"/>
      <c r="R1287" s="1"/>
      <c r="U1287" s="125"/>
      <c r="V1287" s="111"/>
      <c r="W1287" s="112"/>
      <c r="X1287" s="113"/>
      <c r="Z1287" s="1"/>
      <c r="AA1287" s="1"/>
    </row>
    <row r="1288">
      <c r="D1288" s="4"/>
      <c r="H1288" s="1"/>
      <c r="I1288" s="1"/>
      <c r="Q1288" s="1"/>
      <c r="R1288" s="1"/>
      <c r="U1288" s="125"/>
      <c r="V1288" s="111"/>
      <c r="W1288" s="112"/>
      <c r="X1288" s="113"/>
      <c r="Z1288" s="1"/>
      <c r="AA1288" s="1"/>
    </row>
    <row r="1289">
      <c r="D1289" s="4"/>
      <c r="H1289" s="1"/>
      <c r="I1289" s="1"/>
      <c r="Q1289" s="1"/>
      <c r="R1289" s="1"/>
      <c r="U1289" s="125"/>
      <c r="V1289" s="111"/>
      <c r="W1289" s="112"/>
      <c r="X1289" s="113"/>
      <c r="Z1289" s="1"/>
      <c r="AA1289" s="1"/>
    </row>
    <row r="1290">
      <c r="D1290" s="4"/>
      <c r="H1290" s="1"/>
      <c r="I1290" s="1"/>
      <c r="Q1290" s="1"/>
      <c r="R1290" s="1"/>
      <c r="U1290" s="125"/>
      <c r="V1290" s="111"/>
      <c r="W1290" s="112"/>
      <c r="X1290" s="113"/>
      <c r="Z1290" s="1"/>
      <c r="AA1290" s="1"/>
    </row>
    <row r="1291">
      <c r="D1291" s="4"/>
      <c r="H1291" s="1"/>
      <c r="I1291" s="1"/>
      <c r="Q1291" s="1"/>
      <c r="R1291" s="1"/>
      <c r="U1291" s="125"/>
      <c r="V1291" s="111"/>
      <c r="W1291" s="112"/>
      <c r="X1291" s="113"/>
      <c r="Z1291" s="1"/>
      <c r="AA1291" s="1"/>
    </row>
    <row r="1292">
      <c r="D1292" s="4"/>
      <c r="H1292" s="1"/>
      <c r="I1292" s="1"/>
      <c r="Q1292" s="1"/>
      <c r="R1292" s="1"/>
      <c r="U1292" s="125"/>
      <c r="V1292" s="111"/>
      <c r="W1292" s="112"/>
      <c r="X1292" s="113"/>
      <c r="Z1292" s="1"/>
      <c r="AA1292" s="1"/>
    </row>
    <row r="1293">
      <c r="D1293" s="4"/>
      <c r="H1293" s="1"/>
      <c r="I1293" s="1"/>
      <c r="Q1293" s="1"/>
      <c r="R1293" s="1"/>
      <c r="U1293" s="125"/>
      <c r="V1293" s="111"/>
      <c r="W1293" s="112"/>
      <c r="X1293" s="113"/>
      <c r="Z1293" s="1"/>
      <c r="AA1293" s="1"/>
    </row>
    <row r="1294">
      <c r="D1294" s="4"/>
      <c r="H1294" s="1"/>
      <c r="I1294" s="1"/>
      <c r="Q1294" s="1"/>
      <c r="R1294" s="1"/>
      <c r="U1294" s="125"/>
      <c r="V1294" s="111"/>
      <c r="W1294" s="112"/>
      <c r="X1294" s="113"/>
      <c r="Z1294" s="1"/>
      <c r="AA1294" s="1"/>
    </row>
    <row r="1295">
      <c r="D1295" s="4"/>
      <c r="H1295" s="1"/>
      <c r="I1295" s="1"/>
      <c r="Q1295" s="1"/>
      <c r="R1295" s="1"/>
      <c r="U1295" s="125"/>
      <c r="V1295" s="111"/>
      <c r="W1295" s="112"/>
      <c r="X1295" s="113"/>
      <c r="Z1295" s="1"/>
      <c r="AA1295" s="1"/>
    </row>
    <row r="1296">
      <c r="D1296" s="4"/>
      <c r="H1296" s="1"/>
      <c r="I1296" s="1"/>
      <c r="Q1296" s="1"/>
      <c r="R1296" s="1"/>
      <c r="U1296" s="125"/>
      <c r="V1296" s="111"/>
      <c r="W1296" s="112"/>
      <c r="X1296" s="113"/>
      <c r="Z1296" s="1"/>
      <c r="AA1296" s="1"/>
    </row>
    <row r="1297">
      <c r="D1297" s="4"/>
      <c r="H1297" s="1"/>
      <c r="I1297" s="1"/>
      <c r="Q1297" s="1"/>
      <c r="R1297" s="1"/>
      <c r="U1297" s="125"/>
      <c r="V1297" s="111"/>
      <c r="W1297" s="112"/>
      <c r="X1297" s="113"/>
      <c r="Z1297" s="1"/>
      <c r="AA1297" s="1"/>
    </row>
    <row r="1298">
      <c r="D1298" s="4"/>
      <c r="H1298" s="1"/>
      <c r="I1298" s="1"/>
      <c r="Q1298" s="1"/>
      <c r="R1298" s="1"/>
      <c r="U1298" s="125"/>
      <c r="V1298" s="111"/>
      <c r="W1298" s="112"/>
      <c r="X1298" s="113"/>
      <c r="Z1298" s="1"/>
      <c r="AA1298" s="1"/>
    </row>
    <row r="1299">
      <c r="D1299" s="4"/>
      <c r="H1299" s="1"/>
      <c r="I1299" s="1"/>
      <c r="Q1299" s="1"/>
      <c r="R1299" s="1"/>
      <c r="U1299" s="125"/>
      <c r="V1299" s="111"/>
      <c r="W1299" s="112"/>
      <c r="X1299" s="113"/>
      <c r="Z1299" s="1"/>
      <c r="AA1299" s="1"/>
    </row>
    <row r="1300">
      <c r="D1300" s="4"/>
      <c r="H1300" s="1"/>
      <c r="I1300" s="1"/>
      <c r="Q1300" s="1"/>
      <c r="R1300" s="1"/>
      <c r="U1300" s="125"/>
      <c r="V1300" s="111"/>
      <c r="W1300" s="112"/>
      <c r="X1300" s="113"/>
      <c r="Z1300" s="1"/>
      <c r="AA1300" s="1"/>
    </row>
    <row r="1301">
      <c r="D1301" s="4"/>
      <c r="H1301" s="1"/>
      <c r="I1301" s="1"/>
      <c r="Q1301" s="1"/>
      <c r="R1301" s="1"/>
      <c r="U1301" s="125"/>
      <c r="V1301" s="111"/>
      <c r="W1301" s="112"/>
      <c r="X1301" s="113"/>
      <c r="Z1301" s="1"/>
      <c r="AA1301" s="1"/>
    </row>
    <row r="1302">
      <c r="D1302" s="4"/>
      <c r="H1302" s="1"/>
      <c r="I1302" s="1"/>
      <c r="Q1302" s="1"/>
      <c r="R1302" s="1"/>
      <c r="U1302" s="125"/>
      <c r="V1302" s="111"/>
      <c r="W1302" s="112"/>
      <c r="X1302" s="113"/>
      <c r="Z1302" s="1"/>
      <c r="AA1302" s="1"/>
    </row>
    <row r="1303">
      <c r="D1303" s="4"/>
      <c r="H1303" s="1"/>
      <c r="I1303" s="1"/>
      <c r="Q1303" s="1"/>
      <c r="R1303" s="1"/>
      <c r="U1303" s="125"/>
      <c r="V1303" s="111"/>
      <c r="W1303" s="112"/>
      <c r="X1303" s="113"/>
      <c r="Z1303" s="1"/>
      <c r="AA1303" s="1"/>
    </row>
    <row r="1304">
      <c r="D1304" s="4"/>
      <c r="H1304" s="1"/>
      <c r="I1304" s="1"/>
      <c r="Q1304" s="1"/>
      <c r="R1304" s="1"/>
      <c r="U1304" s="125"/>
      <c r="V1304" s="111"/>
      <c r="W1304" s="112"/>
      <c r="X1304" s="113"/>
      <c r="Z1304" s="1"/>
      <c r="AA1304" s="1"/>
    </row>
    <row r="1305">
      <c r="D1305" s="4"/>
      <c r="H1305" s="1"/>
      <c r="I1305" s="1"/>
      <c r="Q1305" s="1"/>
      <c r="R1305" s="1"/>
      <c r="U1305" s="125"/>
      <c r="V1305" s="111"/>
      <c r="W1305" s="112"/>
      <c r="X1305" s="113"/>
      <c r="Z1305" s="1"/>
      <c r="AA1305" s="1"/>
    </row>
    <row r="1306">
      <c r="D1306" s="4"/>
      <c r="H1306" s="1"/>
      <c r="I1306" s="1"/>
      <c r="Q1306" s="1"/>
      <c r="R1306" s="1"/>
      <c r="U1306" s="125"/>
      <c r="V1306" s="111"/>
      <c r="W1306" s="112"/>
      <c r="X1306" s="113"/>
      <c r="Z1306" s="1"/>
      <c r="AA1306" s="1"/>
    </row>
    <row r="1307">
      <c r="D1307" s="4"/>
      <c r="H1307" s="1"/>
      <c r="I1307" s="1"/>
      <c r="Q1307" s="1"/>
      <c r="R1307" s="1"/>
      <c r="U1307" s="125"/>
      <c r="V1307" s="111"/>
      <c r="W1307" s="112"/>
      <c r="X1307" s="113"/>
      <c r="Z1307" s="1"/>
      <c r="AA1307" s="1"/>
    </row>
    <row r="1308">
      <c r="D1308" s="4"/>
      <c r="H1308" s="1"/>
      <c r="I1308" s="1"/>
      <c r="Q1308" s="1"/>
      <c r="R1308" s="1"/>
      <c r="U1308" s="125"/>
      <c r="V1308" s="111"/>
      <c r="W1308" s="112"/>
      <c r="X1308" s="113"/>
      <c r="Z1308" s="1"/>
      <c r="AA1308" s="1"/>
    </row>
    <row r="1309">
      <c r="D1309" s="4"/>
      <c r="H1309" s="1"/>
      <c r="I1309" s="1"/>
      <c r="Q1309" s="1"/>
      <c r="R1309" s="1"/>
      <c r="U1309" s="125"/>
      <c r="V1309" s="111"/>
      <c r="W1309" s="112"/>
      <c r="X1309" s="113"/>
      <c r="Z1309" s="1"/>
      <c r="AA1309" s="1"/>
    </row>
    <row r="1310">
      <c r="D1310" s="4"/>
      <c r="H1310" s="1"/>
      <c r="I1310" s="1"/>
      <c r="Q1310" s="1"/>
      <c r="R1310" s="1"/>
      <c r="U1310" s="125"/>
      <c r="V1310" s="111"/>
      <c r="W1310" s="112"/>
      <c r="X1310" s="113"/>
      <c r="Z1310" s="1"/>
      <c r="AA1310" s="1"/>
    </row>
    <row r="1311">
      <c r="D1311" s="4"/>
      <c r="H1311" s="1"/>
      <c r="I1311" s="1"/>
      <c r="Q1311" s="1"/>
      <c r="R1311" s="1"/>
      <c r="U1311" s="125"/>
      <c r="V1311" s="111"/>
      <c r="W1311" s="112"/>
      <c r="X1311" s="113"/>
      <c r="Z1311" s="1"/>
      <c r="AA1311" s="1"/>
    </row>
    <row r="1312">
      <c r="D1312" s="4"/>
      <c r="H1312" s="1"/>
      <c r="I1312" s="1"/>
      <c r="Q1312" s="1"/>
      <c r="R1312" s="1"/>
      <c r="U1312" s="125"/>
      <c r="V1312" s="111"/>
      <c r="W1312" s="112"/>
      <c r="X1312" s="113"/>
      <c r="Z1312" s="1"/>
      <c r="AA1312" s="1"/>
    </row>
    <row r="1313">
      <c r="D1313" s="4"/>
      <c r="H1313" s="1"/>
      <c r="I1313" s="1"/>
      <c r="Q1313" s="1"/>
      <c r="R1313" s="1"/>
      <c r="U1313" s="125"/>
      <c r="V1313" s="111"/>
      <c r="W1313" s="112"/>
      <c r="X1313" s="113"/>
      <c r="Z1313" s="1"/>
      <c r="AA1313" s="1"/>
    </row>
    <row r="1314">
      <c r="D1314" s="4"/>
      <c r="H1314" s="1"/>
      <c r="I1314" s="1"/>
      <c r="Q1314" s="1"/>
      <c r="R1314" s="1"/>
      <c r="U1314" s="125"/>
      <c r="V1314" s="111"/>
      <c r="W1314" s="112"/>
      <c r="X1314" s="113"/>
      <c r="Z1314" s="1"/>
      <c r="AA1314" s="1"/>
    </row>
    <row r="1315">
      <c r="D1315" s="4"/>
      <c r="H1315" s="1"/>
      <c r="I1315" s="1"/>
      <c r="Q1315" s="1"/>
      <c r="R1315" s="1"/>
      <c r="U1315" s="125"/>
      <c r="V1315" s="111"/>
      <c r="W1315" s="112"/>
      <c r="X1315" s="113"/>
      <c r="Z1315" s="1"/>
      <c r="AA1315" s="1"/>
    </row>
    <row r="1316">
      <c r="D1316" s="4"/>
      <c r="H1316" s="1"/>
      <c r="I1316" s="1"/>
      <c r="Q1316" s="1"/>
      <c r="R1316" s="1"/>
      <c r="U1316" s="125"/>
      <c r="V1316" s="111"/>
      <c r="W1316" s="112"/>
      <c r="X1316" s="113"/>
      <c r="Z1316" s="1"/>
      <c r="AA1316" s="1"/>
    </row>
    <row r="1317">
      <c r="D1317" s="4"/>
      <c r="H1317" s="1"/>
      <c r="I1317" s="1"/>
      <c r="Q1317" s="1"/>
      <c r="R1317" s="1"/>
      <c r="U1317" s="125"/>
      <c r="V1317" s="111"/>
      <c r="W1317" s="112"/>
      <c r="X1317" s="113"/>
      <c r="Z1317" s="1"/>
      <c r="AA1317" s="1"/>
    </row>
    <row r="1318">
      <c r="D1318" s="4"/>
      <c r="H1318" s="1"/>
      <c r="I1318" s="1"/>
      <c r="Q1318" s="1"/>
      <c r="R1318" s="1"/>
      <c r="U1318" s="125"/>
      <c r="V1318" s="111"/>
      <c r="W1318" s="112"/>
      <c r="X1318" s="113"/>
      <c r="Z1318" s="1"/>
      <c r="AA1318" s="1"/>
    </row>
    <row r="1319">
      <c r="D1319" s="4"/>
      <c r="H1319" s="1"/>
      <c r="I1319" s="1"/>
      <c r="Q1319" s="1"/>
      <c r="R1319" s="1"/>
      <c r="U1319" s="125"/>
      <c r="V1319" s="111"/>
      <c r="W1319" s="112"/>
      <c r="X1319" s="113"/>
      <c r="Z1319" s="1"/>
      <c r="AA1319" s="1"/>
    </row>
    <row r="1320">
      <c r="D1320" s="4"/>
      <c r="H1320" s="1"/>
      <c r="I1320" s="1"/>
      <c r="Q1320" s="1"/>
      <c r="R1320" s="1"/>
      <c r="U1320" s="125"/>
      <c r="V1320" s="111"/>
      <c r="W1320" s="112"/>
      <c r="X1320" s="113"/>
      <c r="Z1320" s="1"/>
      <c r="AA1320" s="1"/>
    </row>
    <row r="1321">
      <c r="D1321" s="4"/>
      <c r="H1321" s="1"/>
      <c r="I1321" s="1"/>
      <c r="Q1321" s="1"/>
      <c r="R1321" s="1"/>
      <c r="U1321" s="125"/>
      <c r="V1321" s="111"/>
      <c r="W1321" s="112"/>
      <c r="X1321" s="113"/>
      <c r="Z1321" s="1"/>
      <c r="AA1321" s="1"/>
    </row>
    <row r="1322">
      <c r="D1322" s="4"/>
      <c r="H1322" s="1"/>
      <c r="I1322" s="1"/>
      <c r="Q1322" s="1"/>
      <c r="R1322" s="1"/>
      <c r="U1322" s="125"/>
      <c r="V1322" s="111"/>
      <c r="W1322" s="112"/>
      <c r="X1322" s="113"/>
      <c r="Z1322" s="1"/>
      <c r="AA1322" s="1"/>
    </row>
    <row r="1323">
      <c r="D1323" s="4"/>
      <c r="H1323" s="1"/>
      <c r="I1323" s="1"/>
      <c r="Q1323" s="1"/>
      <c r="R1323" s="1"/>
      <c r="U1323" s="125"/>
      <c r="V1323" s="111"/>
      <c r="W1323" s="112"/>
      <c r="X1323" s="113"/>
      <c r="Z1323" s="1"/>
      <c r="AA1323" s="1"/>
    </row>
    <row r="1324">
      <c r="D1324" s="4"/>
      <c r="H1324" s="1"/>
      <c r="I1324" s="1"/>
      <c r="Q1324" s="1"/>
      <c r="R1324" s="1"/>
      <c r="U1324" s="125"/>
      <c r="V1324" s="111"/>
      <c r="W1324" s="112"/>
      <c r="X1324" s="113"/>
      <c r="Z1324" s="1"/>
      <c r="AA1324" s="1"/>
    </row>
    <row r="1325">
      <c r="D1325" s="4"/>
      <c r="H1325" s="1"/>
      <c r="I1325" s="1"/>
      <c r="Q1325" s="1"/>
      <c r="R1325" s="1"/>
      <c r="U1325" s="125"/>
      <c r="V1325" s="111"/>
      <c r="W1325" s="112"/>
      <c r="X1325" s="113"/>
      <c r="Z1325" s="1"/>
      <c r="AA1325" s="1"/>
    </row>
    <row r="1326">
      <c r="D1326" s="4"/>
      <c r="H1326" s="1"/>
      <c r="I1326" s="1"/>
      <c r="Q1326" s="1"/>
      <c r="R1326" s="1"/>
      <c r="U1326" s="125"/>
      <c r="V1326" s="111"/>
      <c r="W1326" s="112"/>
      <c r="X1326" s="113"/>
      <c r="Z1326" s="1"/>
      <c r="AA1326" s="1"/>
    </row>
    <row r="1327">
      <c r="D1327" s="4"/>
      <c r="H1327" s="1"/>
      <c r="I1327" s="1"/>
      <c r="Q1327" s="1"/>
      <c r="R1327" s="1"/>
      <c r="U1327" s="125"/>
      <c r="V1327" s="111"/>
      <c r="W1327" s="112"/>
      <c r="X1327" s="113"/>
      <c r="Z1327" s="1"/>
      <c r="AA1327" s="1"/>
    </row>
    <row r="1328">
      <c r="D1328" s="4"/>
      <c r="H1328" s="1"/>
      <c r="I1328" s="1"/>
      <c r="Q1328" s="1"/>
      <c r="R1328" s="1"/>
      <c r="U1328" s="125"/>
      <c r="V1328" s="111"/>
      <c r="W1328" s="112"/>
      <c r="X1328" s="113"/>
      <c r="Z1328" s="1"/>
      <c r="AA1328" s="1"/>
    </row>
    <row r="1329">
      <c r="D1329" s="4"/>
      <c r="H1329" s="1"/>
      <c r="I1329" s="1"/>
      <c r="Q1329" s="1"/>
      <c r="R1329" s="1"/>
      <c r="U1329" s="125"/>
      <c r="V1329" s="111"/>
      <c r="W1329" s="112"/>
      <c r="X1329" s="113"/>
      <c r="Z1329" s="1"/>
      <c r="AA1329" s="1"/>
    </row>
    <row r="1330">
      <c r="D1330" s="4"/>
      <c r="H1330" s="1"/>
      <c r="I1330" s="1"/>
      <c r="Q1330" s="1"/>
      <c r="R1330" s="1"/>
      <c r="U1330" s="125"/>
      <c r="V1330" s="111"/>
      <c r="W1330" s="112"/>
      <c r="X1330" s="113"/>
      <c r="Z1330" s="1"/>
      <c r="AA1330" s="1"/>
    </row>
    <row r="1331">
      <c r="D1331" s="4"/>
      <c r="H1331" s="1"/>
      <c r="I1331" s="1"/>
      <c r="Q1331" s="1"/>
      <c r="R1331" s="1"/>
      <c r="U1331" s="125"/>
      <c r="V1331" s="111"/>
      <c r="W1331" s="112"/>
      <c r="X1331" s="113"/>
      <c r="Z1331" s="1"/>
      <c r="AA1331" s="1"/>
    </row>
    <row r="1332">
      <c r="D1332" s="4"/>
      <c r="H1332" s="1"/>
      <c r="I1332" s="1"/>
      <c r="Q1332" s="1"/>
      <c r="R1332" s="1"/>
      <c r="U1332" s="125"/>
      <c r="V1332" s="111"/>
      <c r="W1332" s="112"/>
      <c r="X1332" s="113"/>
      <c r="Z1332" s="1"/>
      <c r="AA1332" s="1"/>
    </row>
    <row r="1333">
      <c r="D1333" s="4"/>
      <c r="H1333" s="1"/>
      <c r="I1333" s="1"/>
      <c r="Q1333" s="1"/>
      <c r="R1333" s="1"/>
      <c r="U1333" s="125"/>
      <c r="V1333" s="111"/>
      <c r="W1333" s="112"/>
      <c r="X1333" s="113"/>
      <c r="Z1333" s="1"/>
      <c r="AA1333" s="1"/>
    </row>
    <row r="1334">
      <c r="D1334" s="4"/>
      <c r="H1334" s="1"/>
      <c r="I1334" s="1"/>
      <c r="Q1334" s="1"/>
      <c r="R1334" s="1"/>
      <c r="U1334" s="125"/>
      <c r="V1334" s="111"/>
      <c r="W1334" s="112"/>
      <c r="X1334" s="113"/>
      <c r="Z1334" s="1"/>
      <c r="AA1334" s="1"/>
    </row>
    <row r="1335">
      <c r="D1335" s="4"/>
      <c r="H1335" s="1"/>
      <c r="I1335" s="1"/>
      <c r="Q1335" s="1"/>
      <c r="R1335" s="1"/>
      <c r="U1335" s="125"/>
      <c r="V1335" s="111"/>
      <c r="W1335" s="112"/>
      <c r="X1335" s="113"/>
      <c r="Z1335" s="1"/>
      <c r="AA1335" s="1"/>
    </row>
    <row r="1336">
      <c r="D1336" s="4"/>
      <c r="H1336" s="1"/>
      <c r="I1336" s="1"/>
      <c r="Q1336" s="1"/>
      <c r="R1336" s="1"/>
      <c r="U1336" s="125"/>
      <c r="V1336" s="111"/>
      <c r="W1336" s="112"/>
      <c r="X1336" s="113"/>
      <c r="Z1336" s="1"/>
      <c r="AA1336" s="1"/>
    </row>
    <row r="1337">
      <c r="D1337" s="4"/>
      <c r="H1337" s="1"/>
      <c r="I1337" s="1"/>
      <c r="Q1337" s="1"/>
      <c r="R1337" s="1"/>
      <c r="U1337" s="125"/>
      <c r="V1337" s="111"/>
      <c r="W1337" s="112"/>
      <c r="X1337" s="113"/>
      <c r="Z1337" s="1"/>
      <c r="AA1337" s="1"/>
    </row>
    <row r="1338">
      <c r="D1338" s="4"/>
      <c r="H1338" s="1"/>
      <c r="I1338" s="1"/>
      <c r="Q1338" s="1"/>
      <c r="R1338" s="1"/>
      <c r="U1338" s="125"/>
      <c r="V1338" s="111"/>
      <c r="W1338" s="112"/>
      <c r="X1338" s="113"/>
      <c r="Z1338" s="1"/>
      <c r="AA1338" s="1"/>
    </row>
    <row r="1339">
      <c r="D1339" s="4"/>
      <c r="H1339" s="1"/>
      <c r="I1339" s="1"/>
      <c r="Q1339" s="1"/>
      <c r="R1339" s="1"/>
      <c r="U1339" s="125"/>
      <c r="V1339" s="111"/>
      <c r="W1339" s="112"/>
      <c r="X1339" s="113"/>
      <c r="Z1339" s="1"/>
      <c r="AA1339" s="1"/>
    </row>
    <row r="1340">
      <c r="D1340" s="4"/>
      <c r="H1340" s="1"/>
      <c r="I1340" s="1"/>
      <c r="Q1340" s="1"/>
      <c r="R1340" s="1"/>
      <c r="U1340" s="125"/>
      <c r="V1340" s="111"/>
      <c r="W1340" s="112"/>
      <c r="X1340" s="113"/>
      <c r="Z1340" s="1"/>
      <c r="AA1340" s="1"/>
    </row>
    <row r="1341">
      <c r="D1341" s="4"/>
      <c r="H1341" s="1"/>
      <c r="I1341" s="1"/>
      <c r="Q1341" s="1"/>
      <c r="R1341" s="1"/>
      <c r="U1341" s="125"/>
      <c r="V1341" s="111"/>
      <c r="W1341" s="112"/>
      <c r="X1341" s="113"/>
      <c r="Z1341" s="1"/>
      <c r="AA1341" s="1"/>
    </row>
    <row r="1342">
      <c r="D1342" s="4"/>
      <c r="H1342" s="1"/>
      <c r="I1342" s="1"/>
      <c r="Q1342" s="1"/>
      <c r="R1342" s="1"/>
      <c r="U1342" s="125"/>
      <c r="V1342" s="111"/>
      <c r="W1342" s="112"/>
      <c r="X1342" s="113"/>
      <c r="Z1342" s="1"/>
      <c r="AA1342" s="1"/>
    </row>
    <row r="1343">
      <c r="D1343" s="4"/>
      <c r="H1343" s="1"/>
      <c r="I1343" s="1"/>
      <c r="Q1343" s="1"/>
      <c r="R1343" s="1"/>
      <c r="U1343" s="125"/>
      <c r="V1343" s="111"/>
      <c r="W1343" s="112"/>
      <c r="X1343" s="113"/>
      <c r="Z1343" s="1"/>
      <c r="AA1343" s="1"/>
    </row>
    <row r="1344">
      <c r="D1344" s="4"/>
      <c r="H1344" s="1"/>
      <c r="I1344" s="1"/>
      <c r="Q1344" s="1"/>
      <c r="R1344" s="1"/>
      <c r="U1344" s="125"/>
      <c r="V1344" s="111"/>
      <c r="W1344" s="112"/>
      <c r="X1344" s="113"/>
      <c r="Z1344" s="1"/>
      <c r="AA1344" s="1"/>
    </row>
    <row r="1345">
      <c r="D1345" s="4"/>
      <c r="H1345" s="1"/>
      <c r="I1345" s="1"/>
      <c r="Q1345" s="1"/>
      <c r="R1345" s="1"/>
      <c r="U1345" s="125"/>
      <c r="V1345" s="111"/>
      <c r="W1345" s="112"/>
      <c r="X1345" s="113"/>
      <c r="Z1345" s="1"/>
      <c r="AA1345" s="1"/>
    </row>
    <row r="1346">
      <c r="D1346" s="4"/>
      <c r="H1346" s="1"/>
      <c r="I1346" s="1"/>
      <c r="Q1346" s="1"/>
      <c r="R1346" s="1"/>
      <c r="U1346" s="125"/>
      <c r="V1346" s="111"/>
      <c r="W1346" s="112"/>
      <c r="X1346" s="113"/>
      <c r="Z1346" s="1"/>
      <c r="AA1346" s="1"/>
    </row>
    <row r="1347">
      <c r="D1347" s="4"/>
      <c r="H1347" s="1"/>
      <c r="I1347" s="1"/>
      <c r="Q1347" s="1"/>
      <c r="R1347" s="1"/>
      <c r="U1347" s="125"/>
      <c r="V1347" s="111"/>
      <c r="W1347" s="112"/>
      <c r="X1347" s="113"/>
      <c r="Z1347" s="1"/>
      <c r="AA1347" s="1"/>
    </row>
    <row r="1348">
      <c r="D1348" s="4"/>
      <c r="H1348" s="1"/>
      <c r="I1348" s="1"/>
      <c r="Q1348" s="1"/>
      <c r="R1348" s="1"/>
      <c r="U1348" s="125"/>
      <c r="V1348" s="111"/>
      <c r="W1348" s="112"/>
      <c r="X1348" s="113"/>
      <c r="Z1348" s="1"/>
      <c r="AA1348" s="1"/>
    </row>
    <row r="1349">
      <c r="D1349" s="4"/>
      <c r="H1349" s="1"/>
      <c r="I1349" s="1"/>
      <c r="Q1349" s="1"/>
      <c r="R1349" s="1"/>
      <c r="U1349" s="125"/>
      <c r="V1349" s="111"/>
      <c r="W1349" s="112"/>
      <c r="X1349" s="113"/>
      <c r="Z1349" s="1"/>
      <c r="AA1349" s="1"/>
    </row>
    <row r="1350">
      <c r="D1350" s="4"/>
      <c r="H1350" s="1"/>
      <c r="I1350" s="1"/>
      <c r="Q1350" s="1"/>
      <c r="R1350" s="1"/>
      <c r="U1350" s="125"/>
      <c r="V1350" s="111"/>
      <c r="W1350" s="112"/>
      <c r="X1350" s="113"/>
      <c r="Z1350" s="1"/>
      <c r="AA1350" s="1"/>
    </row>
    <row r="1351">
      <c r="D1351" s="4"/>
      <c r="H1351" s="1"/>
      <c r="I1351" s="1"/>
      <c r="Q1351" s="1"/>
      <c r="R1351" s="1"/>
      <c r="U1351" s="125"/>
      <c r="V1351" s="111"/>
      <c r="W1351" s="112"/>
      <c r="X1351" s="113"/>
      <c r="Z1351" s="1"/>
      <c r="AA1351" s="1"/>
    </row>
    <row r="1352">
      <c r="D1352" s="4"/>
      <c r="H1352" s="1"/>
      <c r="I1352" s="1"/>
      <c r="Q1352" s="1"/>
      <c r="R1352" s="1"/>
      <c r="U1352" s="125"/>
      <c r="V1352" s="111"/>
      <c r="W1352" s="112"/>
      <c r="X1352" s="113"/>
      <c r="Z1352" s="1"/>
      <c r="AA1352" s="1"/>
    </row>
    <row r="1353">
      <c r="D1353" s="4"/>
      <c r="H1353" s="1"/>
      <c r="I1353" s="1"/>
      <c r="Q1353" s="1"/>
      <c r="R1353" s="1"/>
      <c r="U1353" s="125"/>
      <c r="V1353" s="111"/>
      <c r="W1353" s="112"/>
      <c r="X1353" s="113"/>
      <c r="Z1353" s="1"/>
      <c r="AA1353" s="1"/>
    </row>
    <row r="1354">
      <c r="D1354" s="4"/>
      <c r="H1354" s="1"/>
      <c r="I1354" s="1"/>
      <c r="Q1354" s="1"/>
      <c r="R1354" s="1"/>
      <c r="U1354" s="125"/>
      <c r="V1354" s="111"/>
      <c r="W1354" s="112"/>
      <c r="X1354" s="113"/>
      <c r="Z1354" s="1"/>
      <c r="AA1354" s="1"/>
    </row>
    <row r="1355">
      <c r="D1355" s="4"/>
      <c r="H1355" s="1"/>
      <c r="I1355" s="1"/>
      <c r="Q1355" s="1"/>
      <c r="R1355" s="1"/>
      <c r="U1355" s="125"/>
      <c r="V1355" s="111"/>
      <c r="W1355" s="112"/>
      <c r="X1355" s="113"/>
      <c r="Z1355" s="1"/>
      <c r="AA1355" s="1"/>
    </row>
    <row r="1356">
      <c r="D1356" s="4"/>
      <c r="H1356" s="1"/>
      <c r="I1356" s="1"/>
      <c r="Q1356" s="1"/>
      <c r="R1356" s="1"/>
      <c r="U1356" s="125"/>
      <c r="V1356" s="111"/>
      <c r="W1356" s="112"/>
      <c r="X1356" s="113"/>
      <c r="Z1356" s="1"/>
      <c r="AA1356" s="1"/>
    </row>
    <row r="1357">
      <c r="D1357" s="4"/>
      <c r="H1357" s="1"/>
      <c r="I1357" s="1"/>
      <c r="Q1357" s="1"/>
      <c r="R1357" s="1"/>
      <c r="U1357" s="125"/>
      <c r="V1357" s="111"/>
      <c r="W1357" s="112"/>
      <c r="X1357" s="113"/>
      <c r="Z1357" s="1"/>
      <c r="AA1357" s="1"/>
    </row>
    <row r="1358">
      <c r="D1358" s="4"/>
      <c r="H1358" s="1"/>
      <c r="I1358" s="1"/>
      <c r="Q1358" s="1"/>
      <c r="R1358" s="1"/>
      <c r="U1358" s="125"/>
      <c r="V1358" s="111"/>
      <c r="W1358" s="112"/>
      <c r="X1358" s="113"/>
      <c r="Z1358" s="1"/>
      <c r="AA1358" s="1"/>
    </row>
    <row r="1359">
      <c r="D1359" s="4"/>
      <c r="H1359" s="1"/>
      <c r="I1359" s="1"/>
      <c r="Q1359" s="1"/>
      <c r="R1359" s="1"/>
      <c r="U1359" s="125"/>
      <c r="V1359" s="111"/>
      <c r="W1359" s="112"/>
      <c r="X1359" s="113"/>
      <c r="Z1359" s="1"/>
      <c r="AA1359" s="1"/>
    </row>
    <row r="1360">
      <c r="D1360" s="4"/>
      <c r="H1360" s="1"/>
      <c r="I1360" s="1"/>
      <c r="Q1360" s="1"/>
      <c r="R1360" s="1"/>
      <c r="U1360" s="125"/>
      <c r="V1360" s="111"/>
      <c r="W1360" s="112"/>
      <c r="X1360" s="113"/>
      <c r="Z1360" s="1"/>
      <c r="AA1360" s="1"/>
    </row>
    <row r="1361">
      <c r="D1361" s="4"/>
      <c r="H1361" s="1"/>
      <c r="I1361" s="1"/>
      <c r="Q1361" s="1"/>
      <c r="R1361" s="1"/>
      <c r="U1361" s="125"/>
      <c r="V1361" s="111"/>
      <c r="W1361" s="112"/>
      <c r="X1361" s="113"/>
      <c r="Z1361" s="1"/>
      <c r="AA1361" s="1"/>
    </row>
    <row r="1362">
      <c r="D1362" s="4"/>
      <c r="H1362" s="1"/>
      <c r="I1362" s="1"/>
      <c r="Q1362" s="1"/>
      <c r="R1362" s="1"/>
      <c r="U1362" s="125"/>
      <c r="V1362" s="111"/>
      <c r="W1362" s="112"/>
      <c r="X1362" s="113"/>
      <c r="Z1362" s="1"/>
      <c r="AA1362" s="1"/>
    </row>
    <row r="1363">
      <c r="D1363" s="4"/>
      <c r="H1363" s="1"/>
      <c r="I1363" s="1"/>
      <c r="Q1363" s="1"/>
      <c r="R1363" s="1"/>
      <c r="U1363" s="125"/>
      <c r="V1363" s="111"/>
      <c r="W1363" s="112"/>
      <c r="X1363" s="113"/>
      <c r="Z1363" s="1"/>
      <c r="AA1363" s="1"/>
    </row>
    <row r="1364">
      <c r="D1364" s="4"/>
      <c r="H1364" s="1"/>
      <c r="I1364" s="1"/>
      <c r="Q1364" s="1"/>
      <c r="R1364" s="1"/>
      <c r="U1364" s="125"/>
      <c r="V1364" s="111"/>
      <c r="W1364" s="112"/>
      <c r="X1364" s="113"/>
      <c r="Z1364" s="1"/>
      <c r="AA1364" s="1"/>
    </row>
    <row r="1365">
      <c r="D1365" s="4"/>
      <c r="H1365" s="1"/>
      <c r="I1365" s="1"/>
      <c r="Q1365" s="1"/>
      <c r="R1365" s="1"/>
      <c r="U1365" s="125"/>
      <c r="V1365" s="111"/>
      <c r="W1365" s="112"/>
      <c r="X1365" s="113"/>
      <c r="Z1365" s="1"/>
      <c r="AA1365" s="1"/>
    </row>
    <row r="1366">
      <c r="D1366" s="4"/>
      <c r="H1366" s="1"/>
      <c r="I1366" s="1"/>
      <c r="Q1366" s="1"/>
      <c r="R1366" s="1"/>
      <c r="U1366" s="125"/>
      <c r="V1366" s="111"/>
      <c r="W1366" s="112"/>
      <c r="X1366" s="113"/>
      <c r="Z1366" s="1"/>
      <c r="AA1366" s="1"/>
    </row>
    <row r="1367">
      <c r="D1367" s="4"/>
      <c r="H1367" s="1"/>
      <c r="I1367" s="1"/>
      <c r="Q1367" s="1"/>
      <c r="R1367" s="1"/>
      <c r="U1367" s="125"/>
      <c r="V1367" s="111"/>
      <c r="W1367" s="112"/>
      <c r="X1367" s="113"/>
      <c r="Z1367" s="1"/>
      <c r="AA1367" s="1"/>
    </row>
    <row r="1368">
      <c r="D1368" s="4"/>
      <c r="H1368" s="1"/>
      <c r="I1368" s="1"/>
      <c r="Q1368" s="1"/>
      <c r="R1368" s="1"/>
      <c r="U1368" s="125"/>
      <c r="V1368" s="111"/>
      <c r="W1368" s="112"/>
      <c r="X1368" s="113"/>
      <c r="Z1368" s="1"/>
      <c r="AA1368" s="1"/>
    </row>
    <row r="1369">
      <c r="D1369" s="4"/>
      <c r="H1369" s="1"/>
      <c r="I1369" s="1"/>
      <c r="Q1369" s="1"/>
      <c r="R1369" s="1"/>
      <c r="U1369" s="125"/>
      <c r="V1369" s="111"/>
      <c r="W1369" s="112"/>
      <c r="X1369" s="113"/>
      <c r="Z1369" s="1"/>
      <c r="AA1369" s="1"/>
    </row>
    <row r="1370">
      <c r="D1370" s="4"/>
      <c r="H1370" s="1"/>
      <c r="I1370" s="1"/>
      <c r="Q1370" s="1"/>
      <c r="R1370" s="1"/>
      <c r="U1370" s="125"/>
      <c r="V1370" s="111"/>
      <c r="W1370" s="112"/>
      <c r="X1370" s="113"/>
      <c r="Z1370" s="1"/>
      <c r="AA1370" s="1"/>
    </row>
    <row r="1371">
      <c r="D1371" s="4"/>
      <c r="H1371" s="1"/>
      <c r="I1371" s="1"/>
      <c r="Q1371" s="1"/>
      <c r="R1371" s="1"/>
      <c r="U1371" s="125"/>
      <c r="V1371" s="111"/>
      <c r="W1371" s="112"/>
      <c r="X1371" s="113"/>
      <c r="Z1371" s="1"/>
      <c r="AA1371" s="1"/>
    </row>
    <row r="1372">
      <c r="D1372" s="4"/>
      <c r="H1372" s="1"/>
      <c r="I1372" s="1"/>
      <c r="Q1372" s="1"/>
      <c r="R1372" s="1"/>
      <c r="U1372" s="125"/>
      <c r="V1372" s="111"/>
      <c r="W1372" s="112"/>
      <c r="X1372" s="113"/>
      <c r="Z1372" s="1"/>
      <c r="AA1372" s="1"/>
    </row>
    <row r="1373">
      <c r="D1373" s="4"/>
      <c r="H1373" s="1"/>
      <c r="I1373" s="1"/>
      <c r="Q1373" s="1"/>
      <c r="R1373" s="1"/>
      <c r="U1373" s="125"/>
      <c r="V1373" s="111"/>
      <c r="W1373" s="112"/>
      <c r="X1373" s="113"/>
      <c r="Z1373" s="1"/>
      <c r="AA1373" s="1"/>
    </row>
    <row r="1374">
      <c r="D1374" s="4"/>
      <c r="H1374" s="1"/>
      <c r="I1374" s="1"/>
      <c r="Q1374" s="1"/>
      <c r="R1374" s="1"/>
      <c r="U1374" s="125"/>
      <c r="V1374" s="111"/>
      <c r="W1374" s="112"/>
      <c r="X1374" s="113"/>
      <c r="Z1374" s="1"/>
      <c r="AA1374" s="1"/>
    </row>
    <row r="1375">
      <c r="D1375" s="4"/>
      <c r="H1375" s="1"/>
      <c r="I1375" s="1"/>
      <c r="Q1375" s="1"/>
      <c r="R1375" s="1"/>
      <c r="U1375" s="125"/>
      <c r="V1375" s="111"/>
      <c r="W1375" s="112"/>
      <c r="X1375" s="113"/>
      <c r="Z1375" s="1"/>
      <c r="AA1375" s="1"/>
    </row>
    <row r="1376">
      <c r="D1376" s="4"/>
      <c r="H1376" s="1"/>
      <c r="I1376" s="1"/>
      <c r="Q1376" s="1"/>
      <c r="R1376" s="1"/>
      <c r="U1376" s="125"/>
      <c r="V1376" s="111"/>
      <c r="W1376" s="112"/>
      <c r="X1376" s="113"/>
      <c r="Z1376" s="1"/>
      <c r="AA1376" s="1"/>
    </row>
    <row r="1377">
      <c r="D1377" s="4"/>
      <c r="H1377" s="1"/>
      <c r="I1377" s="1"/>
      <c r="Q1377" s="1"/>
      <c r="R1377" s="1"/>
      <c r="U1377" s="125"/>
      <c r="V1377" s="111"/>
      <c r="W1377" s="112"/>
      <c r="X1377" s="113"/>
      <c r="Z1377" s="1"/>
      <c r="AA1377" s="1"/>
    </row>
    <row r="1378">
      <c r="D1378" s="4"/>
      <c r="H1378" s="1"/>
      <c r="I1378" s="1"/>
      <c r="Q1378" s="1"/>
      <c r="R1378" s="1"/>
      <c r="U1378" s="125"/>
      <c r="V1378" s="111"/>
      <c r="W1378" s="112"/>
      <c r="X1378" s="113"/>
      <c r="Z1378" s="1"/>
      <c r="AA1378" s="1"/>
    </row>
    <row r="1379">
      <c r="D1379" s="4"/>
      <c r="H1379" s="1"/>
      <c r="I1379" s="1"/>
      <c r="Q1379" s="1"/>
      <c r="R1379" s="1"/>
      <c r="U1379" s="125"/>
      <c r="V1379" s="111"/>
      <c r="W1379" s="112"/>
      <c r="X1379" s="113"/>
      <c r="Z1379" s="1"/>
      <c r="AA1379" s="1"/>
    </row>
    <row r="1380">
      <c r="D1380" s="4"/>
      <c r="H1380" s="1"/>
      <c r="I1380" s="1"/>
      <c r="Q1380" s="1"/>
      <c r="R1380" s="1"/>
      <c r="U1380" s="125"/>
      <c r="V1380" s="111"/>
      <c r="W1380" s="112"/>
      <c r="X1380" s="113"/>
      <c r="Z1380" s="1"/>
      <c r="AA1380" s="1"/>
    </row>
    <row r="1381">
      <c r="D1381" s="4"/>
      <c r="H1381" s="1"/>
      <c r="I1381" s="1"/>
      <c r="Q1381" s="1"/>
      <c r="R1381" s="1"/>
      <c r="U1381" s="125"/>
      <c r="V1381" s="111"/>
      <c r="W1381" s="112"/>
      <c r="X1381" s="113"/>
      <c r="Z1381" s="1"/>
      <c r="AA1381" s="1"/>
    </row>
    <row r="1382">
      <c r="D1382" s="4"/>
      <c r="H1382" s="1"/>
      <c r="I1382" s="1"/>
      <c r="Q1382" s="1"/>
      <c r="R1382" s="1"/>
      <c r="U1382" s="125"/>
      <c r="V1382" s="111"/>
      <c r="W1382" s="112"/>
      <c r="X1382" s="113"/>
      <c r="Z1382" s="1"/>
      <c r="AA1382" s="1"/>
    </row>
    <row r="1383">
      <c r="D1383" s="4"/>
      <c r="H1383" s="1"/>
      <c r="I1383" s="1"/>
      <c r="Q1383" s="1"/>
      <c r="R1383" s="1"/>
      <c r="U1383" s="125"/>
      <c r="V1383" s="111"/>
      <c r="W1383" s="112"/>
      <c r="X1383" s="113"/>
      <c r="Z1383" s="1"/>
      <c r="AA1383" s="1"/>
    </row>
    <row r="1384">
      <c r="D1384" s="4"/>
      <c r="H1384" s="1"/>
      <c r="I1384" s="1"/>
      <c r="Q1384" s="1"/>
      <c r="R1384" s="1"/>
      <c r="U1384" s="125"/>
      <c r="V1384" s="111"/>
      <c r="W1384" s="112"/>
      <c r="X1384" s="113"/>
      <c r="Z1384" s="1"/>
      <c r="AA1384" s="1"/>
    </row>
    <row r="1385">
      <c r="D1385" s="4"/>
      <c r="H1385" s="1"/>
      <c r="I1385" s="1"/>
      <c r="Q1385" s="1"/>
      <c r="R1385" s="1"/>
      <c r="U1385" s="125"/>
      <c r="V1385" s="111"/>
      <c r="W1385" s="112"/>
      <c r="X1385" s="113"/>
      <c r="Z1385" s="1"/>
      <c r="AA1385" s="1"/>
    </row>
    <row r="1386">
      <c r="D1386" s="4"/>
      <c r="H1386" s="1"/>
      <c r="I1386" s="1"/>
      <c r="Q1386" s="1"/>
      <c r="R1386" s="1"/>
      <c r="U1386" s="125"/>
      <c r="V1386" s="111"/>
      <c r="W1386" s="112"/>
      <c r="X1386" s="113"/>
      <c r="Z1386" s="1"/>
      <c r="AA1386" s="1"/>
    </row>
    <row r="1387">
      <c r="D1387" s="4"/>
      <c r="H1387" s="1"/>
      <c r="I1387" s="1"/>
      <c r="Q1387" s="1"/>
      <c r="R1387" s="1"/>
      <c r="U1387" s="125"/>
      <c r="V1387" s="111"/>
      <c r="W1387" s="112"/>
      <c r="X1387" s="113"/>
      <c r="Z1387" s="1"/>
      <c r="AA1387" s="1"/>
    </row>
    <row r="1388">
      <c r="D1388" s="4"/>
      <c r="H1388" s="1"/>
      <c r="I1388" s="1"/>
      <c r="Q1388" s="1"/>
      <c r="R1388" s="1"/>
      <c r="U1388" s="125"/>
      <c r="V1388" s="111"/>
      <c r="W1388" s="112"/>
      <c r="X1388" s="113"/>
      <c r="Z1388" s="1"/>
      <c r="AA1388" s="1"/>
    </row>
    <row r="1389">
      <c r="D1389" s="4"/>
      <c r="H1389" s="1"/>
      <c r="I1389" s="1"/>
      <c r="Q1389" s="1"/>
      <c r="R1389" s="1"/>
      <c r="U1389" s="125"/>
      <c r="V1389" s="111"/>
      <c r="W1389" s="112"/>
      <c r="X1389" s="113"/>
      <c r="Z1389" s="1"/>
      <c r="AA1389" s="1"/>
    </row>
    <row r="1390">
      <c r="D1390" s="4"/>
      <c r="H1390" s="1"/>
      <c r="I1390" s="1"/>
      <c r="Q1390" s="1"/>
      <c r="R1390" s="1"/>
      <c r="U1390" s="125"/>
      <c r="V1390" s="111"/>
      <c r="W1390" s="112"/>
      <c r="X1390" s="113"/>
      <c r="Z1390" s="1"/>
      <c r="AA1390" s="1"/>
    </row>
    <row r="1391">
      <c r="D1391" s="4"/>
      <c r="H1391" s="1"/>
      <c r="I1391" s="1"/>
      <c r="Q1391" s="1"/>
      <c r="R1391" s="1"/>
      <c r="U1391" s="125"/>
      <c r="V1391" s="111"/>
      <c r="W1391" s="112"/>
      <c r="X1391" s="113"/>
      <c r="Z1391" s="1"/>
      <c r="AA1391" s="1"/>
    </row>
    <row r="1392">
      <c r="D1392" s="4"/>
      <c r="H1392" s="1"/>
      <c r="I1392" s="1"/>
      <c r="Q1392" s="1"/>
      <c r="R1392" s="1"/>
      <c r="U1392" s="125"/>
      <c r="V1392" s="111"/>
      <c r="W1392" s="112"/>
      <c r="X1392" s="113"/>
      <c r="Z1392" s="1"/>
      <c r="AA1392" s="1"/>
    </row>
    <row r="1393">
      <c r="D1393" s="4"/>
      <c r="H1393" s="1"/>
      <c r="I1393" s="1"/>
      <c r="Q1393" s="1"/>
      <c r="R1393" s="1"/>
      <c r="U1393" s="125"/>
      <c r="V1393" s="111"/>
      <c r="W1393" s="112"/>
      <c r="X1393" s="113"/>
      <c r="Z1393" s="1"/>
      <c r="AA1393" s="1"/>
    </row>
    <row r="1394">
      <c r="D1394" s="4"/>
      <c r="H1394" s="1"/>
      <c r="I1394" s="1"/>
      <c r="Q1394" s="1"/>
      <c r="R1394" s="1"/>
      <c r="U1394" s="125"/>
      <c r="V1394" s="111"/>
      <c r="W1394" s="112"/>
      <c r="X1394" s="113"/>
      <c r="Z1394" s="1"/>
      <c r="AA1394" s="1"/>
    </row>
    <row r="1395">
      <c r="D1395" s="4"/>
      <c r="H1395" s="1"/>
      <c r="I1395" s="1"/>
      <c r="Q1395" s="1"/>
      <c r="R1395" s="1"/>
      <c r="U1395" s="125"/>
      <c r="V1395" s="111"/>
      <c r="W1395" s="112"/>
      <c r="X1395" s="113"/>
      <c r="Z1395" s="1"/>
      <c r="AA1395" s="1"/>
    </row>
    <row r="1396">
      <c r="D1396" s="4"/>
      <c r="H1396" s="1"/>
      <c r="I1396" s="1"/>
      <c r="Q1396" s="1"/>
      <c r="R1396" s="1"/>
      <c r="U1396" s="125"/>
      <c r="V1396" s="111"/>
      <c r="W1396" s="112"/>
      <c r="X1396" s="113"/>
      <c r="Z1396" s="1"/>
      <c r="AA1396" s="1"/>
    </row>
    <row r="1397">
      <c r="D1397" s="4"/>
      <c r="H1397" s="1"/>
      <c r="I1397" s="1"/>
      <c r="Q1397" s="1"/>
      <c r="R1397" s="1"/>
      <c r="U1397" s="125"/>
      <c r="V1397" s="111"/>
      <c r="W1397" s="112"/>
      <c r="X1397" s="113"/>
      <c r="Z1397" s="1"/>
      <c r="AA1397" s="1"/>
    </row>
    <row r="1398">
      <c r="D1398" s="4"/>
      <c r="H1398" s="1"/>
      <c r="I1398" s="1"/>
      <c r="Q1398" s="1"/>
      <c r="R1398" s="1"/>
      <c r="U1398" s="125"/>
      <c r="V1398" s="111"/>
      <c r="W1398" s="112"/>
      <c r="X1398" s="113"/>
      <c r="Z1398" s="1"/>
      <c r="AA1398" s="1"/>
    </row>
    <row r="1399">
      <c r="D1399" s="4"/>
      <c r="H1399" s="1"/>
      <c r="I1399" s="1"/>
      <c r="Q1399" s="1"/>
      <c r="R1399" s="1"/>
      <c r="U1399" s="125"/>
      <c r="V1399" s="111"/>
      <c r="W1399" s="112"/>
      <c r="X1399" s="113"/>
      <c r="Z1399" s="1"/>
      <c r="AA1399" s="1"/>
    </row>
    <row r="1400">
      <c r="D1400" s="4"/>
      <c r="H1400" s="1"/>
      <c r="I1400" s="1"/>
      <c r="Q1400" s="1"/>
      <c r="R1400" s="1"/>
      <c r="U1400" s="125"/>
      <c r="V1400" s="111"/>
      <c r="W1400" s="112"/>
      <c r="X1400" s="113"/>
      <c r="Z1400" s="1"/>
      <c r="AA1400" s="1"/>
    </row>
    <row r="1401">
      <c r="D1401" s="4"/>
      <c r="H1401" s="1"/>
      <c r="I1401" s="1"/>
      <c r="Q1401" s="1"/>
      <c r="R1401" s="1"/>
      <c r="U1401" s="125"/>
      <c r="V1401" s="111"/>
      <c r="W1401" s="112"/>
      <c r="X1401" s="113"/>
      <c r="Z1401" s="1"/>
      <c r="AA1401" s="1"/>
    </row>
    <row r="1402">
      <c r="D1402" s="4"/>
      <c r="H1402" s="1"/>
      <c r="I1402" s="1"/>
      <c r="Q1402" s="1"/>
      <c r="R1402" s="1"/>
      <c r="U1402" s="125"/>
      <c r="V1402" s="111"/>
      <c r="W1402" s="112"/>
      <c r="X1402" s="113"/>
      <c r="Z1402" s="1"/>
      <c r="AA1402" s="1"/>
    </row>
    <row r="1403">
      <c r="D1403" s="4"/>
      <c r="H1403" s="1"/>
      <c r="I1403" s="1"/>
      <c r="Q1403" s="1"/>
      <c r="R1403" s="1"/>
      <c r="U1403" s="125"/>
      <c r="V1403" s="111"/>
      <c r="W1403" s="112"/>
      <c r="X1403" s="113"/>
      <c r="Z1403" s="1"/>
      <c r="AA1403" s="1"/>
    </row>
    <row r="1404">
      <c r="D1404" s="4"/>
      <c r="H1404" s="1"/>
      <c r="I1404" s="1"/>
      <c r="Q1404" s="1"/>
      <c r="R1404" s="1"/>
      <c r="U1404" s="125"/>
      <c r="V1404" s="111"/>
      <c r="W1404" s="112"/>
      <c r="X1404" s="113"/>
      <c r="Z1404" s="1"/>
      <c r="AA1404" s="1"/>
    </row>
    <row r="1405">
      <c r="D1405" s="4"/>
      <c r="H1405" s="1"/>
      <c r="I1405" s="1"/>
      <c r="Q1405" s="1"/>
      <c r="R1405" s="1"/>
      <c r="U1405" s="125"/>
      <c r="V1405" s="111"/>
      <c r="W1405" s="112"/>
      <c r="X1405" s="113"/>
      <c r="Z1405" s="1"/>
      <c r="AA1405" s="1"/>
    </row>
    <row r="1406">
      <c r="D1406" s="4"/>
      <c r="H1406" s="1"/>
      <c r="I1406" s="1"/>
      <c r="Q1406" s="1"/>
      <c r="R1406" s="1"/>
      <c r="U1406" s="125"/>
      <c r="V1406" s="111"/>
      <c r="W1406" s="112"/>
      <c r="X1406" s="113"/>
      <c r="Z1406" s="1"/>
      <c r="AA1406" s="1"/>
    </row>
    <row r="1407">
      <c r="D1407" s="4"/>
      <c r="H1407" s="1"/>
      <c r="I1407" s="1"/>
      <c r="Q1407" s="1"/>
      <c r="R1407" s="1"/>
      <c r="U1407" s="125"/>
      <c r="V1407" s="111"/>
      <c r="W1407" s="112"/>
      <c r="X1407" s="113"/>
      <c r="Z1407" s="1"/>
      <c r="AA1407" s="1"/>
    </row>
    <row r="1408">
      <c r="D1408" s="4"/>
      <c r="H1408" s="1"/>
      <c r="I1408" s="1"/>
      <c r="Q1408" s="1"/>
      <c r="R1408" s="1"/>
      <c r="U1408" s="125"/>
      <c r="V1408" s="111"/>
      <c r="W1408" s="112"/>
      <c r="X1408" s="113"/>
      <c r="Z1408" s="1"/>
      <c r="AA1408" s="1"/>
    </row>
    <row r="1409">
      <c r="D1409" s="4"/>
      <c r="H1409" s="1"/>
      <c r="I1409" s="1"/>
      <c r="Q1409" s="1"/>
      <c r="R1409" s="1"/>
      <c r="U1409" s="125"/>
      <c r="V1409" s="111"/>
      <c r="W1409" s="112"/>
      <c r="X1409" s="113"/>
      <c r="Z1409" s="1"/>
      <c r="AA1409" s="1"/>
    </row>
    <row r="1410">
      <c r="D1410" s="4"/>
      <c r="H1410" s="1"/>
      <c r="I1410" s="1"/>
      <c r="Q1410" s="1"/>
      <c r="R1410" s="1"/>
      <c r="U1410" s="125"/>
      <c r="V1410" s="111"/>
      <c r="W1410" s="112"/>
      <c r="X1410" s="113"/>
      <c r="Z1410" s="1"/>
      <c r="AA1410" s="1"/>
    </row>
    <row r="1411">
      <c r="D1411" s="4"/>
      <c r="H1411" s="1"/>
      <c r="I1411" s="1"/>
      <c r="Q1411" s="1"/>
      <c r="R1411" s="1"/>
      <c r="U1411" s="125"/>
      <c r="V1411" s="111"/>
      <c r="W1411" s="112"/>
      <c r="X1411" s="113"/>
      <c r="Z1411" s="1"/>
      <c r="AA1411" s="1"/>
    </row>
    <row r="1412">
      <c r="D1412" s="4"/>
      <c r="H1412" s="1"/>
      <c r="I1412" s="1"/>
      <c r="Q1412" s="1"/>
      <c r="R1412" s="1"/>
      <c r="U1412" s="125"/>
      <c r="V1412" s="111"/>
      <c r="W1412" s="112"/>
      <c r="X1412" s="113"/>
      <c r="Z1412" s="1"/>
      <c r="AA1412" s="1"/>
    </row>
    <row r="1413">
      <c r="D1413" s="4"/>
      <c r="H1413" s="1"/>
      <c r="I1413" s="1"/>
      <c r="Q1413" s="1"/>
      <c r="R1413" s="1"/>
      <c r="U1413" s="125"/>
      <c r="V1413" s="111"/>
      <c r="W1413" s="112"/>
      <c r="X1413" s="113"/>
      <c r="Z1413" s="1"/>
      <c r="AA1413" s="1"/>
    </row>
    <row r="1414">
      <c r="D1414" s="4"/>
      <c r="H1414" s="1"/>
      <c r="I1414" s="1"/>
      <c r="Q1414" s="1"/>
      <c r="R1414" s="1"/>
      <c r="U1414" s="125"/>
      <c r="V1414" s="111"/>
      <c r="W1414" s="112"/>
      <c r="X1414" s="113"/>
      <c r="Z1414" s="1"/>
      <c r="AA1414" s="1"/>
    </row>
    <row r="1415">
      <c r="D1415" s="4"/>
      <c r="H1415" s="1"/>
      <c r="I1415" s="1"/>
      <c r="Q1415" s="1"/>
      <c r="R1415" s="1"/>
      <c r="U1415" s="125"/>
      <c r="V1415" s="111"/>
      <c r="W1415" s="112"/>
      <c r="X1415" s="113"/>
      <c r="Z1415" s="1"/>
      <c r="AA1415" s="1"/>
    </row>
    <row r="1416">
      <c r="D1416" s="4"/>
      <c r="H1416" s="1"/>
      <c r="I1416" s="1"/>
      <c r="Q1416" s="1"/>
      <c r="R1416" s="1"/>
      <c r="U1416" s="125"/>
      <c r="V1416" s="111"/>
      <c r="W1416" s="112"/>
      <c r="X1416" s="113"/>
      <c r="Z1416" s="1"/>
      <c r="AA1416" s="1"/>
    </row>
    <row r="1417">
      <c r="D1417" s="4"/>
      <c r="H1417" s="1"/>
      <c r="I1417" s="1"/>
      <c r="Q1417" s="1"/>
      <c r="R1417" s="1"/>
      <c r="U1417" s="125"/>
      <c r="V1417" s="111"/>
      <c r="W1417" s="112"/>
      <c r="X1417" s="113"/>
      <c r="Z1417" s="1"/>
      <c r="AA1417" s="1"/>
    </row>
    <row r="1418">
      <c r="D1418" s="4"/>
      <c r="H1418" s="1"/>
      <c r="I1418" s="1"/>
      <c r="Q1418" s="1"/>
      <c r="R1418" s="1"/>
      <c r="U1418" s="125"/>
      <c r="V1418" s="111"/>
      <c r="W1418" s="112"/>
      <c r="X1418" s="113"/>
      <c r="Z1418" s="1"/>
      <c r="AA1418" s="1"/>
    </row>
    <row r="1419">
      <c r="D1419" s="4"/>
      <c r="H1419" s="1"/>
      <c r="I1419" s="1"/>
      <c r="Q1419" s="1"/>
      <c r="R1419" s="1"/>
      <c r="U1419" s="125"/>
      <c r="V1419" s="111"/>
      <c r="W1419" s="112"/>
      <c r="X1419" s="113"/>
      <c r="Z1419" s="1"/>
      <c r="AA1419" s="1"/>
    </row>
    <row r="1420">
      <c r="D1420" s="4"/>
      <c r="H1420" s="1"/>
      <c r="I1420" s="1"/>
      <c r="Q1420" s="1"/>
      <c r="R1420" s="1"/>
      <c r="U1420" s="125"/>
      <c r="V1420" s="111"/>
      <c r="W1420" s="112"/>
      <c r="X1420" s="113"/>
      <c r="Z1420" s="1"/>
      <c r="AA1420" s="1"/>
    </row>
    <row r="1421">
      <c r="D1421" s="4"/>
      <c r="H1421" s="1"/>
      <c r="I1421" s="1"/>
      <c r="Q1421" s="1"/>
      <c r="R1421" s="1"/>
      <c r="U1421" s="125"/>
      <c r="V1421" s="111"/>
      <c r="W1421" s="112"/>
      <c r="X1421" s="113"/>
      <c r="Z1421" s="1"/>
      <c r="AA1421" s="1"/>
    </row>
    <row r="1422">
      <c r="D1422" s="4"/>
      <c r="H1422" s="1"/>
      <c r="I1422" s="1"/>
      <c r="Q1422" s="1"/>
      <c r="R1422" s="1"/>
      <c r="U1422" s="125"/>
      <c r="V1422" s="111"/>
      <c r="W1422" s="112"/>
      <c r="X1422" s="113"/>
      <c r="Z1422" s="1"/>
      <c r="AA1422" s="1"/>
    </row>
    <row r="1423">
      <c r="D1423" s="4"/>
      <c r="H1423" s="1"/>
      <c r="I1423" s="1"/>
      <c r="Q1423" s="1"/>
      <c r="R1423" s="1"/>
      <c r="U1423" s="125"/>
      <c r="V1423" s="111"/>
      <c r="W1423" s="112"/>
      <c r="X1423" s="113"/>
      <c r="Z1423" s="1"/>
      <c r="AA1423" s="1"/>
    </row>
    <row r="1424">
      <c r="D1424" s="4"/>
      <c r="H1424" s="1"/>
      <c r="I1424" s="1"/>
      <c r="Q1424" s="1"/>
      <c r="R1424" s="1"/>
      <c r="U1424" s="125"/>
      <c r="V1424" s="111"/>
      <c r="W1424" s="112"/>
      <c r="X1424" s="113"/>
      <c r="Z1424" s="1"/>
      <c r="AA1424" s="1"/>
    </row>
    <row r="1425">
      <c r="D1425" s="4"/>
      <c r="H1425" s="1"/>
      <c r="I1425" s="1"/>
      <c r="Q1425" s="1"/>
      <c r="R1425" s="1"/>
      <c r="U1425" s="125"/>
      <c r="V1425" s="111"/>
      <c r="W1425" s="112"/>
      <c r="X1425" s="113"/>
      <c r="Z1425" s="1"/>
      <c r="AA1425" s="1"/>
    </row>
    <row r="1426">
      <c r="D1426" s="4"/>
      <c r="H1426" s="1"/>
      <c r="I1426" s="1"/>
      <c r="Q1426" s="1"/>
      <c r="R1426" s="1"/>
      <c r="U1426" s="125"/>
      <c r="V1426" s="111"/>
      <c r="W1426" s="112"/>
      <c r="X1426" s="113"/>
      <c r="Z1426" s="1"/>
      <c r="AA1426" s="1"/>
    </row>
    <row r="1427">
      <c r="D1427" s="4"/>
      <c r="H1427" s="1"/>
      <c r="I1427" s="1"/>
      <c r="Q1427" s="1"/>
      <c r="R1427" s="1"/>
      <c r="U1427" s="125"/>
      <c r="V1427" s="111"/>
      <c r="W1427" s="112"/>
      <c r="X1427" s="113"/>
      <c r="Z1427" s="1"/>
      <c r="AA1427" s="1"/>
    </row>
    <row r="1428">
      <c r="D1428" s="4"/>
      <c r="H1428" s="1"/>
      <c r="I1428" s="1"/>
      <c r="Q1428" s="1"/>
      <c r="R1428" s="1"/>
      <c r="U1428" s="125"/>
      <c r="V1428" s="111"/>
      <c r="W1428" s="112"/>
      <c r="X1428" s="113"/>
      <c r="Z1428" s="1"/>
      <c r="AA1428" s="1"/>
    </row>
    <row r="1429">
      <c r="D1429" s="4"/>
      <c r="H1429" s="1"/>
      <c r="I1429" s="1"/>
      <c r="Q1429" s="1"/>
      <c r="R1429" s="1"/>
      <c r="U1429" s="125"/>
      <c r="V1429" s="111"/>
      <c r="W1429" s="112"/>
      <c r="X1429" s="113"/>
      <c r="Z1429" s="1"/>
      <c r="AA1429" s="1"/>
    </row>
    <row r="1430">
      <c r="D1430" s="4"/>
      <c r="H1430" s="1"/>
      <c r="I1430" s="1"/>
      <c r="Q1430" s="1"/>
      <c r="R1430" s="1"/>
      <c r="U1430" s="125"/>
      <c r="V1430" s="111"/>
      <c r="W1430" s="112"/>
      <c r="X1430" s="113"/>
      <c r="Z1430" s="1"/>
      <c r="AA1430" s="1"/>
    </row>
    <row r="1431">
      <c r="D1431" s="4"/>
      <c r="H1431" s="1"/>
      <c r="I1431" s="1"/>
      <c r="Q1431" s="1"/>
      <c r="R1431" s="1"/>
      <c r="U1431" s="125"/>
      <c r="V1431" s="111"/>
      <c r="W1431" s="112"/>
      <c r="X1431" s="113"/>
      <c r="Z1431" s="1"/>
      <c r="AA1431" s="1"/>
    </row>
    <row r="1432">
      <c r="D1432" s="4"/>
      <c r="H1432" s="1"/>
      <c r="I1432" s="1"/>
      <c r="Q1432" s="1"/>
      <c r="R1432" s="1"/>
      <c r="U1432" s="125"/>
      <c r="V1432" s="111"/>
      <c r="W1432" s="112"/>
      <c r="X1432" s="113"/>
      <c r="Z1432" s="1"/>
      <c r="AA1432" s="1"/>
    </row>
    <row r="1433">
      <c r="D1433" s="4"/>
      <c r="H1433" s="1"/>
      <c r="I1433" s="1"/>
      <c r="Q1433" s="1"/>
      <c r="R1433" s="1"/>
      <c r="U1433" s="125"/>
      <c r="V1433" s="111"/>
      <c r="W1433" s="112"/>
      <c r="X1433" s="113"/>
      <c r="Z1433" s="1"/>
      <c r="AA1433" s="1"/>
    </row>
    <row r="1434">
      <c r="D1434" s="4"/>
      <c r="H1434" s="1"/>
      <c r="I1434" s="1"/>
      <c r="Q1434" s="1"/>
      <c r="R1434" s="1"/>
      <c r="U1434" s="125"/>
      <c r="V1434" s="111"/>
      <c r="W1434" s="112"/>
      <c r="X1434" s="113"/>
      <c r="Z1434" s="1"/>
      <c r="AA1434" s="1"/>
    </row>
    <row r="1435">
      <c r="D1435" s="4"/>
      <c r="H1435" s="1"/>
      <c r="I1435" s="1"/>
      <c r="Q1435" s="1"/>
      <c r="R1435" s="1"/>
      <c r="U1435" s="125"/>
      <c r="V1435" s="111"/>
      <c r="W1435" s="112"/>
      <c r="X1435" s="113"/>
      <c r="Z1435" s="1"/>
      <c r="AA1435" s="1"/>
    </row>
    <row r="1436">
      <c r="D1436" s="4"/>
      <c r="H1436" s="1"/>
      <c r="I1436" s="1"/>
      <c r="Q1436" s="1"/>
      <c r="R1436" s="1"/>
      <c r="U1436" s="125"/>
      <c r="V1436" s="111"/>
      <c r="W1436" s="112"/>
      <c r="X1436" s="113"/>
      <c r="Z1436" s="1"/>
      <c r="AA1436" s="1"/>
    </row>
    <row r="1437">
      <c r="D1437" s="4"/>
      <c r="H1437" s="1"/>
      <c r="I1437" s="1"/>
      <c r="Q1437" s="1"/>
      <c r="R1437" s="1"/>
      <c r="U1437" s="125"/>
      <c r="V1437" s="111"/>
      <c r="W1437" s="112"/>
      <c r="X1437" s="113"/>
      <c r="Z1437" s="1"/>
      <c r="AA1437" s="1"/>
    </row>
    <row r="1438">
      <c r="D1438" s="4"/>
      <c r="H1438" s="1"/>
      <c r="I1438" s="1"/>
      <c r="Q1438" s="1"/>
      <c r="R1438" s="1"/>
      <c r="U1438" s="125"/>
      <c r="V1438" s="111"/>
      <c r="W1438" s="112"/>
      <c r="X1438" s="113"/>
      <c r="Z1438" s="1"/>
      <c r="AA1438" s="1"/>
    </row>
    <row r="1439">
      <c r="D1439" s="4"/>
      <c r="H1439" s="1"/>
      <c r="I1439" s="1"/>
      <c r="Q1439" s="1"/>
      <c r="R1439" s="1"/>
      <c r="U1439" s="125"/>
      <c r="V1439" s="111"/>
      <c r="W1439" s="112"/>
      <c r="X1439" s="113"/>
      <c r="Z1439" s="1"/>
      <c r="AA1439" s="1"/>
    </row>
    <row r="1440">
      <c r="D1440" s="4"/>
      <c r="H1440" s="1"/>
      <c r="I1440" s="1"/>
      <c r="Q1440" s="1"/>
      <c r="R1440" s="1"/>
      <c r="U1440" s="125"/>
      <c r="V1440" s="111"/>
      <c r="W1440" s="112"/>
      <c r="X1440" s="113"/>
      <c r="Z1440" s="1"/>
      <c r="AA1440" s="1"/>
    </row>
    <row r="1441">
      <c r="D1441" s="4"/>
      <c r="H1441" s="1"/>
      <c r="I1441" s="1"/>
      <c r="Q1441" s="1"/>
      <c r="R1441" s="1"/>
      <c r="U1441" s="125"/>
      <c r="V1441" s="111"/>
      <c r="W1441" s="112"/>
      <c r="X1441" s="113"/>
      <c r="Z1441" s="1"/>
      <c r="AA1441" s="1"/>
    </row>
    <row r="1442">
      <c r="D1442" s="4"/>
      <c r="H1442" s="1"/>
      <c r="I1442" s="1"/>
      <c r="Q1442" s="1"/>
      <c r="R1442" s="1"/>
      <c r="U1442" s="125"/>
      <c r="V1442" s="111"/>
      <c r="W1442" s="112"/>
      <c r="X1442" s="113"/>
      <c r="Z1442" s="1"/>
      <c r="AA1442" s="1"/>
    </row>
    <row r="1443">
      <c r="D1443" s="4"/>
      <c r="H1443" s="1"/>
      <c r="I1443" s="1"/>
      <c r="Q1443" s="1"/>
      <c r="R1443" s="1"/>
      <c r="U1443" s="125"/>
      <c r="V1443" s="111"/>
      <c r="W1443" s="112"/>
      <c r="X1443" s="113"/>
      <c r="Z1443" s="1"/>
      <c r="AA1443" s="1"/>
    </row>
    <row r="1444">
      <c r="D1444" s="4"/>
      <c r="H1444" s="1"/>
      <c r="I1444" s="1"/>
      <c r="Q1444" s="1"/>
      <c r="R1444" s="1"/>
      <c r="U1444" s="125"/>
      <c r="V1444" s="111"/>
      <c r="W1444" s="112"/>
      <c r="X1444" s="113"/>
      <c r="Z1444" s="1"/>
      <c r="AA1444" s="1"/>
    </row>
    <row r="1445">
      <c r="D1445" s="4"/>
      <c r="H1445" s="1"/>
      <c r="I1445" s="1"/>
      <c r="Q1445" s="1"/>
      <c r="R1445" s="1"/>
      <c r="U1445" s="125"/>
      <c r="V1445" s="111"/>
      <c r="W1445" s="112"/>
      <c r="X1445" s="113"/>
      <c r="Z1445" s="1"/>
      <c r="AA1445" s="1"/>
    </row>
    <row r="1446">
      <c r="D1446" s="4"/>
      <c r="H1446" s="1"/>
      <c r="I1446" s="1"/>
      <c r="Q1446" s="1"/>
      <c r="R1446" s="1"/>
      <c r="U1446" s="125"/>
      <c r="V1446" s="111"/>
      <c r="W1446" s="112"/>
      <c r="X1446" s="113"/>
      <c r="Z1446" s="1"/>
      <c r="AA1446" s="1"/>
    </row>
    <row r="1447">
      <c r="D1447" s="4"/>
      <c r="H1447" s="1"/>
      <c r="I1447" s="1"/>
      <c r="Q1447" s="1"/>
      <c r="R1447" s="1"/>
      <c r="U1447" s="125"/>
      <c r="V1447" s="111"/>
      <c r="W1447" s="112"/>
      <c r="X1447" s="113"/>
      <c r="Z1447" s="1"/>
      <c r="AA1447" s="1"/>
    </row>
    <row r="1448">
      <c r="D1448" s="4"/>
      <c r="H1448" s="1"/>
      <c r="I1448" s="1"/>
      <c r="Q1448" s="1"/>
      <c r="R1448" s="1"/>
      <c r="U1448" s="125"/>
      <c r="V1448" s="111"/>
      <c r="W1448" s="112"/>
      <c r="X1448" s="113"/>
      <c r="Z1448" s="1"/>
      <c r="AA1448" s="1"/>
    </row>
    <row r="1449">
      <c r="D1449" s="4"/>
      <c r="H1449" s="1"/>
      <c r="I1449" s="1"/>
      <c r="Q1449" s="1"/>
      <c r="R1449" s="1"/>
      <c r="U1449" s="125"/>
      <c r="V1449" s="111"/>
      <c r="W1449" s="112"/>
      <c r="X1449" s="113"/>
      <c r="Z1449" s="1"/>
      <c r="AA1449" s="1"/>
    </row>
    <row r="1450">
      <c r="D1450" s="4"/>
      <c r="H1450" s="1"/>
      <c r="I1450" s="1"/>
      <c r="Q1450" s="1"/>
      <c r="R1450" s="1"/>
      <c r="U1450" s="125"/>
      <c r="V1450" s="111"/>
      <c r="W1450" s="112"/>
      <c r="X1450" s="113"/>
      <c r="Z1450" s="1"/>
      <c r="AA1450" s="1"/>
    </row>
    <row r="1451">
      <c r="D1451" s="4"/>
      <c r="H1451" s="1"/>
      <c r="I1451" s="1"/>
      <c r="Q1451" s="1"/>
      <c r="R1451" s="1"/>
      <c r="U1451" s="125"/>
      <c r="V1451" s="111"/>
      <c r="W1451" s="112"/>
      <c r="X1451" s="113"/>
      <c r="Z1451" s="1"/>
      <c r="AA1451" s="1"/>
    </row>
    <row r="1452">
      <c r="D1452" s="4"/>
      <c r="H1452" s="1"/>
      <c r="I1452" s="1"/>
      <c r="Q1452" s="1"/>
      <c r="R1452" s="1"/>
      <c r="U1452" s="125"/>
      <c r="V1452" s="111"/>
      <c r="W1452" s="112"/>
      <c r="X1452" s="113"/>
      <c r="Z1452" s="1"/>
      <c r="AA1452" s="1"/>
    </row>
    <row r="1453">
      <c r="D1453" s="4"/>
      <c r="H1453" s="1"/>
      <c r="I1453" s="1"/>
      <c r="Q1453" s="1"/>
      <c r="R1453" s="1"/>
      <c r="U1453" s="125"/>
      <c r="V1453" s="111"/>
      <c r="W1453" s="112"/>
      <c r="X1453" s="113"/>
      <c r="Z1453" s="1"/>
      <c r="AA1453" s="1"/>
    </row>
    <row r="1454">
      <c r="D1454" s="4"/>
      <c r="H1454" s="1"/>
      <c r="I1454" s="1"/>
      <c r="Q1454" s="1"/>
      <c r="R1454" s="1"/>
      <c r="U1454" s="125"/>
      <c r="V1454" s="111"/>
      <c r="W1454" s="112"/>
      <c r="X1454" s="113"/>
      <c r="Z1454" s="1"/>
      <c r="AA1454" s="1"/>
    </row>
    <row r="1455">
      <c r="D1455" s="4"/>
      <c r="H1455" s="1"/>
      <c r="I1455" s="1"/>
      <c r="Q1455" s="1"/>
      <c r="R1455" s="1"/>
      <c r="U1455" s="125"/>
      <c r="V1455" s="111"/>
      <c r="W1455" s="112"/>
      <c r="X1455" s="113"/>
      <c r="Z1455" s="1"/>
      <c r="AA1455" s="1"/>
    </row>
    <row r="1456">
      <c r="D1456" s="4"/>
      <c r="H1456" s="1"/>
      <c r="I1456" s="1"/>
      <c r="Q1456" s="1"/>
      <c r="R1456" s="1"/>
      <c r="U1456" s="125"/>
      <c r="V1456" s="111"/>
      <c r="W1456" s="112"/>
      <c r="X1456" s="113"/>
      <c r="Z1456" s="1"/>
      <c r="AA1456" s="1"/>
    </row>
    <row r="1457">
      <c r="D1457" s="4"/>
      <c r="H1457" s="1"/>
      <c r="I1457" s="1"/>
      <c r="Q1457" s="1"/>
      <c r="R1457" s="1"/>
      <c r="U1457" s="125"/>
      <c r="V1457" s="111"/>
      <c r="W1457" s="112"/>
      <c r="X1457" s="113"/>
      <c r="Z1457" s="1"/>
      <c r="AA1457" s="1"/>
    </row>
    <row r="1458">
      <c r="D1458" s="4"/>
      <c r="H1458" s="1"/>
      <c r="I1458" s="1"/>
      <c r="Q1458" s="1"/>
      <c r="R1458" s="1"/>
      <c r="U1458" s="125"/>
      <c r="V1458" s="111"/>
      <c r="W1458" s="112"/>
      <c r="X1458" s="113"/>
      <c r="Z1458" s="1"/>
      <c r="AA1458" s="1"/>
    </row>
    <row r="1459">
      <c r="D1459" s="4"/>
      <c r="H1459" s="1"/>
      <c r="I1459" s="1"/>
      <c r="Q1459" s="1"/>
      <c r="R1459" s="1"/>
      <c r="U1459" s="125"/>
      <c r="V1459" s="111"/>
      <c r="W1459" s="112"/>
      <c r="X1459" s="113"/>
      <c r="Z1459" s="1"/>
      <c r="AA1459" s="1"/>
    </row>
    <row r="1460">
      <c r="D1460" s="4"/>
      <c r="H1460" s="1"/>
      <c r="I1460" s="1"/>
      <c r="Q1460" s="1"/>
      <c r="R1460" s="1"/>
      <c r="U1460" s="125"/>
      <c r="V1460" s="111"/>
      <c r="W1460" s="112"/>
      <c r="X1460" s="113"/>
      <c r="Z1460" s="1"/>
      <c r="AA1460" s="1"/>
    </row>
    <row r="1461">
      <c r="D1461" s="4"/>
      <c r="H1461" s="1"/>
      <c r="I1461" s="1"/>
      <c r="Q1461" s="1"/>
      <c r="R1461" s="1"/>
      <c r="U1461" s="125"/>
      <c r="V1461" s="111"/>
      <c r="W1461" s="112"/>
      <c r="X1461" s="113"/>
      <c r="Z1461" s="1"/>
      <c r="AA1461" s="1"/>
    </row>
    <row r="1462">
      <c r="D1462" s="4"/>
      <c r="H1462" s="1"/>
      <c r="I1462" s="1"/>
      <c r="Q1462" s="1"/>
      <c r="R1462" s="1"/>
      <c r="U1462" s="125"/>
      <c r="V1462" s="111"/>
      <c r="W1462" s="112"/>
      <c r="X1462" s="113"/>
      <c r="Z1462" s="1"/>
      <c r="AA1462" s="1"/>
    </row>
    <row r="1463">
      <c r="D1463" s="4"/>
      <c r="H1463" s="1"/>
      <c r="I1463" s="1"/>
      <c r="Q1463" s="1"/>
      <c r="R1463" s="1"/>
      <c r="U1463" s="125"/>
      <c r="V1463" s="111"/>
      <c r="W1463" s="112"/>
      <c r="X1463" s="113"/>
      <c r="Z1463" s="1"/>
      <c r="AA1463" s="1"/>
    </row>
    <row r="1464">
      <c r="D1464" s="4"/>
      <c r="H1464" s="1"/>
      <c r="I1464" s="1"/>
      <c r="Q1464" s="1"/>
      <c r="R1464" s="1"/>
      <c r="U1464" s="125"/>
      <c r="V1464" s="111"/>
      <c r="W1464" s="112"/>
      <c r="X1464" s="113"/>
      <c r="Z1464" s="1"/>
      <c r="AA1464" s="1"/>
    </row>
    <row r="1465">
      <c r="D1465" s="4"/>
      <c r="H1465" s="1"/>
      <c r="I1465" s="1"/>
      <c r="Q1465" s="1"/>
      <c r="R1465" s="1"/>
      <c r="U1465" s="125"/>
      <c r="V1465" s="111"/>
      <c r="W1465" s="112"/>
      <c r="X1465" s="113"/>
      <c r="Z1465" s="1"/>
      <c r="AA1465" s="1"/>
    </row>
    <row r="1466">
      <c r="D1466" s="4"/>
      <c r="H1466" s="1"/>
      <c r="I1466" s="1"/>
      <c r="Q1466" s="1"/>
      <c r="R1466" s="1"/>
      <c r="U1466" s="125"/>
      <c r="V1466" s="111"/>
      <c r="W1466" s="112"/>
      <c r="X1466" s="113"/>
      <c r="Z1466" s="1"/>
      <c r="AA1466" s="1"/>
    </row>
    <row r="1467">
      <c r="D1467" s="4"/>
      <c r="H1467" s="1"/>
      <c r="I1467" s="1"/>
      <c r="Q1467" s="1"/>
      <c r="R1467" s="1"/>
      <c r="U1467" s="125"/>
      <c r="V1467" s="111"/>
      <c r="W1467" s="112"/>
      <c r="X1467" s="113"/>
      <c r="Z1467" s="1"/>
      <c r="AA1467" s="1"/>
    </row>
    <row r="1468">
      <c r="D1468" s="4"/>
      <c r="H1468" s="1"/>
      <c r="I1468" s="1"/>
      <c r="Q1468" s="1"/>
      <c r="R1468" s="1"/>
      <c r="U1468" s="125"/>
      <c r="V1468" s="111"/>
      <c r="W1468" s="112"/>
      <c r="X1468" s="113"/>
      <c r="Z1468" s="1"/>
      <c r="AA1468" s="1"/>
    </row>
    <row r="1469">
      <c r="D1469" s="4"/>
      <c r="H1469" s="1"/>
      <c r="I1469" s="1"/>
      <c r="Q1469" s="1"/>
      <c r="R1469" s="1"/>
      <c r="U1469" s="125"/>
      <c r="V1469" s="111"/>
      <c r="W1469" s="112"/>
      <c r="X1469" s="113"/>
      <c r="Z1469" s="1"/>
      <c r="AA1469" s="1"/>
    </row>
    <row r="1470">
      <c r="D1470" s="4"/>
      <c r="H1470" s="1"/>
      <c r="I1470" s="1"/>
      <c r="Q1470" s="1"/>
      <c r="R1470" s="1"/>
      <c r="U1470" s="125"/>
      <c r="V1470" s="111"/>
      <c r="W1470" s="112"/>
      <c r="X1470" s="113"/>
      <c r="Z1470" s="1"/>
      <c r="AA1470" s="1"/>
    </row>
    <row r="1471">
      <c r="D1471" s="4"/>
      <c r="H1471" s="1"/>
      <c r="I1471" s="1"/>
      <c r="Q1471" s="1"/>
      <c r="R1471" s="1"/>
      <c r="U1471" s="125"/>
      <c r="V1471" s="111"/>
      <c r="W1471" s="112"/>
      <c r="X1471" s="113"/>
      <c r="Z1471" s="1"/>
      <c r="AA1471" s="1"/>
    </row>
    <row r="1472">
      <c r="D1472" s="4"/>
      <c r="H1472" s="1"/>
      <c r="I1472" s="1"/>
      <c r="Q1472" s="1"/>
      <c r="R1472" s="1"/>
      <c r="U1472" s="125"/>
      <c r="V1472" s="111"/>
      <c r="W1472" s="112"/>
      <c r="X1472" s="113"/>
      <c r="Z1472" s="1"/>
      <c r="AA1472" s="1"/>
    </row>
    <row r="1473">
      <c r="D1473" s="4"/>
      <c r="H1473" s="1"/>
      <c r="I1473" s="1"/>
      <c r="Q1473" s="1"/>
      <c r="R1473" s="1"/>
      <c r="U1473" s="125"/>
      <c r="V1473" s="111"/>
      <c r="W1473" s="112"/>
      <c r="X1473" s="113"/>
      <c r="Z1473" s="1"/>
      <c r="AA1473" s="1"/>
    </row>
    <row r="1474">
      <c r="D1474" s="4"/>
      <c r="H1474" s="1"/>
      <c r="I1474" s="1"/>
      <c r="Q1474" s="1"/>
      <c r="R1474" s="1"/>
      <c r="U1474" s="125"/>
      <c r="V1474" s="111"/>
      <c r="W1474" s="112"/>
      <c r="X1474" s="113"/>
      <c r="Z1474" s="1"/>
      <c r="AA1474" s="1"/>
    </row>
    <row r="1475">
      <c r="D1475" s="4"/>
      <c r="H1475" s="1"/>
      <c r="I1475" s="1"/>
      <c r="Q1475" s="1"/>
      <c r="R1475" s="1"/>
      <c r="U1475" s="125"/>
      <c r="V1475" s="111"/>
      <c r="W1475" s="112"/>
      <c r="X1475" s="113"/>
      <c r="Z1475" s="1"/>
      <c r="AA1475" s="1"/>
    </row>
    <row r="1476">
      <c r="D1476" s="4"/>
      <c r="H1476" s="1"/>
      <c r="I1476" s="1"/>
      <c r="Q1476" s="1"/>
      <c r="R1476" s="1"/>
      <c r="U1476" s="125"/>
      <c r="V1476" s="111"/>
      <c r="W1476" s="112"/>
      <c r="X1476" s="113"/>
      <c r="Z1476" s="1"/>
      <c r="AA1476" s="1"/>
    </row>
    <row r="1477">
      <c r="D1477" s="4"/>
      <c r="H1477" s="1"/>
      <c r="I1477" s="1"/>
      <c r="Q1477" s="1"/>
      <c r="R1477" s="1"/>
      <c r="U1477" s="125"/>
      <c r="V1477" s="111"/>
      <c r="W1477" s="112"/>
      <c r="X1477" s="113"/>
      <c r="Z1477" s="1"/>
      <c r="AA1477" s="1"/>
    </row>
    <row r="1478">
      <c r="D1478" s="4"/>
      <c r="H1478" s="1"/>
      <c r="I1478" s="1"/>
      <c r="Q1478" s="1"/>
      <c r="R1478" s="1"/>
      <c r="U1478" s="125"/>
      <c r="V1478" s="111"/>
      <c r="W1478" s="112"/>
      <c r="X1478" s="113"/>
      <c r="Z1478" s="1"/>
      <c r="AA1478" s="1"/>
    </row>
    <row r="1479">
      <c r="D1479" s="4"/>
      <c r="H1479" s="1"/>
      <c r="I1479" s="1"/>
      <c r="Q1479" s="1"/>
      <c r="R1479" s="1"/>
      <c r="U1479" s="125"/>
      <c r="V1479" s="111"/>
      <c r="W1479" s="112"/>
      <c r="X1479" s="113"/>
      <c r="Z1479" s="1"/>
      <c r="AA1479" s="1"/>
    </row>
    <row r="1480">
      <c r="D1480" s="4"/>
      <c r="H1480" s="1"/>
      <c r="I1480" s="1"/>
      <c r="Q1480" s="1"/>
      <c r="R1480" s="1"/>
      <c r="U1480" s="125"/>
      <c r="V1480" s="111"/>
      <c r="W1480" s="112"/>
      <c r="X1480" s="113"/>
      <c r="Z1480" s="1"/>
      <c r="AA1480" s="1"/>
    </row>
    <row r="1481">
      <c r="D1481" s="4"/>
      <c r="H1481" s="1"/>
      <c r="I1481" s="1"/>
      <c r="Q1481" s="1"/>
      <c r="R1481" s="1"/>
      <c r="U1481" s="125"/>
      <c r="V1481" s="111"/>
      <c r="W1481" s="112"/>
      <c r="X1481" s="113"/>
      <c r="Z1481" s="1"/>
      <c r="AA1481" s="1"/>
    </row>
    <row r="1482">
      <c r="D1482" s="4"/>
      <c r="H1482" s="1"/>
      <c r="I1482" s="1"/>
      <c r="Q1482" s="1"/>
      <c r="R1482" s="1"/>
      <c r="U1482" s="125"/>
      <c r="V1482" s="111"/>
      <c r="W1482" s="112"/>
      <c r="X1482" s="113"/>
      <c r="Z1482" s="1"/>
      <c r="AA1482" s="1"/>
    </row>
    <row r="1483">
      <c r="D1483" s="4"/>
      <c r="H1483" s="1"/>
      <c r="I1483" s="1"/>
      <c r="Q1483" s="1"/>
      <c r="R1483" s="1"/>
      <c r="U1483" s="125"/>
      <c r="V1483" s="111"/>
      <c r="W1483" s="112"/>
      <c r="X1483" s="113"/>
      <c r="Z1483" s="1"/>
      <c r="AA1483" s="1"/>
    </row>
    <row r="1484">
      <c r="D1484" s="4"/>
      <c r="H1484" s="1"/>
      <c r="I1484" s="1"/>
      <c r="Q1484" s="1"/>
      <c r="R1484" s="1"/>
      <c r="U1484" s="125"/>
      <c r="V1484" s="111"/>
      <c r="W1484" s="112"/>
      <c r="X1484" s="113"/>
      <c r="Z1484" s="1"/>
      <c r="AA1484" s="1"/>
    </row>
    <row r="1485">
      <c r="D1485" s="4"/>
      <c r="H1485" s="1"/>
      <c r="I1485" s="1"/>
      <c r="Q1485" s="1"/>
      <c r="R1485" s="1"/>
      <c r="U1485" s="125"/>
      <c r="V1485" s="111"/>
      <c r="W1485" s="112"/>
      <c r="X1485" s="113"/>
      <c r="Z1485" s="1"/>
      <c r="AA1485" s="1"/>
    </row>
    <row r="1486">
      <c r="D1486" s="4"/>
      <c r="H1486" s="1"/>
      <c r="I1486" s="1"/>
      <c r="Q1486" s="1"/>
      <c r="R1486" s="1"/>
      <c r="U1486" s="125"/>
      <c r="V1486" s="111"/>
      <c r="W1486" s="112"/>
      <c r="X1486" s="113"/>
      <c r="Z1486" s="1"/>
      <c r="AA1486" s="1"/>
    </row>
    <row r="1487">
      <c r="D1487" s="4"/>
      <c r="H1487" s="1"/>
      <c r="I1487" s="1"/>
      <c r="Q1487" s="1"/>
      <c r="R1487" s="1"/>
      <c r="U1487" s="125"/>
      <c r="V1487" s="111"/>
      <c r="W1487" s="112"/>
      <c r="X1487" s="113"/>
      <c r="Z1487" s="1"/>
      <c r="AA1487" s="1"/>
    </row>
    <row r="1488">
      <c r="D1488" s="4"/>
      <c r="H1488" s="1"/>
      <c r="I1488" s="1"/>
      <c r="Q1488" s="1"/>
      <c r="R1488" s="1"/>
      <c r="U1488" s="125"/>
      <c r="V1488" s="111"/>
      <c r="W1488" s="112"/>
      <c r="X1488" s="113"/>
      <c r="Z1488" s="1"/>
      <c r="AA1488" s="1"/>
    </row>
    <row r="1489">
      <c r="D1489" s="4"/>
      <c r="H1489" s="1"/>
      <c r="I1489" s="1"/>
      <c r="Q1489" s="1"/>
      <c r="R1489" s="1"/>
      <c r="U1489" s="125"/>
      <c r="V1489" s="111"/>
      <c r="W1489" s="112"/>
      <c r="X1489" s="113"/>
      <c r="Z1489" s="1"/>
      <c r="AA1489" s="1"/>
    </row>
    <row r="1490">
      <c r="D1490" s="4"/>
      <c r="H1490" s="1"/>
      <c r="I1490" s="1"/>
      <c r="Q1490" s="1"/>
      <c r="R1490" s="1"/>
      <c r="U1490" s="125"/>
      <c r="V1490" s="111"/>
      <c r="W1490" s="112"/>
      <c r="X1490" s="113"/>
      <c r="Z1490" s="1"/>
      <c r="AA1490" s="1"/>
    </row>
    <row r="1491">
      <c r="D1491" s="4"/>
      <c r="H1491" s="1"/>
      <c r="I1491" s="1"/>
      <c r="Q1491" s="1"/>
      <c r="R1491" s="1"/>
      <c r="U1491" s="125"/>
      <c r="V1491" s="111"/>
      <c r="W1491" s="112"/>
      <c r="X1491" s="113"/>
      <c r="Z1491" s="1"/>
      <c r="AA1491" s="1"/>
    </row>
    <row r="1492">
      <c r="D1492" s="4"/>
      <c r="H1492" s="1"/>
      <c r="I1492" s="1"/>
      <c r="Q1492" s="1"/>
      <c r="R1492" s="1"/>
      <c r="U1492" s="125"/>
      <c r="V1492" s="111"/>
      <c r="W1492" s="112"/>
      <c r="X1492" s="113"/>
      <c r="Z1492" s="1"/>
      <c r="AA1492" s="1"/>
    </row>
    <row r="1493">
      <c r="D1493" s="4"/>
      <c r="H1493" s="1"/>
      <c r="I1493" s="1"/>
      <c r="Q1493" s="1"/>
      <c r="R1493" s="1"/>
      <c r="U1493" s="125"/>
      <c r="V1493" s="111"/>
      <c r="W1493" s="112"/>
      <c r="X1493" s="113"/>
      <c r="Z1493" s="1"/>
      <c r="AA1493" s="1"/>
    </row>
    <row r="1494">
      <c r="D1494" s="4"/>
      <c r="H1494" s="1"/>
      <c r="I1494" s="1"/>
      <c r="Q1494" s="1"/>
      <c r="R1494" s="1"/>
      <c r="U1494" s="125"/>
      <c r="V1494" s="111"/>
      <c r="W1494" s="112"/>
      <c r="X1494" s="113"/>
      <c r="Z1494" s="1"/>
      <c r="AA1494" s="1"/>
    </row>
    <row r="1495">
      <c r="D1495" s="4"/>
      <c r="H1495" s="1"/>
      <c r="I1495" s="1"/>
      <c r="Q1495" s="1"/>
      <c r="R1495" s="1"/>
      <c r="U1495" s="125"/>
      <c r="V1495" s="111"/>
      <c r="W1495" s="112"/>
      <c r="X1495" s="113"/>
      <c r="Z1495" s="1"/>
      <c r="AA1495" s="1"/>
    </row>
    <row r="1496">
      <c r="D1496" s="4"/>
      <c r="H1496" s="1"/>
      <c r="I1496" s="1"/>
      <c r="Q1496" s="1"/>
      <c r="R1496" s="1"/>
      <c r="U1496" s="125"/>
      <c r="V1496" s="111"/>
      <c r="W1496" s="112"/>
      <c r="X1496" s="113"/>
      <c r="Z1496" s="1"/>
      <c r="AA1496" s="1"/>
    </row>
    <row r="1497">
      <c r="D1497" s="4"/>
      <c r="H1497" s="1"/>
      <c r="I1497" s="1"/>
      <c r="Q1497" s="1"/>
      <c r="R1497" s="1"/>
      <c r="U1497" s="125"/>
      <c r="V1497" s="111"/>
      <c r="W1497" s="112"/>
      <c r="X1497" s="113"/>
      <c r="Z1497" s="1"/>
      <c r="AA1497" s="1"/>
    </row>
    <row r="1498">
      <c r="D1498" s="4"/>
      <c r="H1498" s="1"/>
      <c r="I1498" s="1"/>
      <c r="Q1498" s="1"/>
      <c r="R1498" s="1"/>
      <c r="U1498" s="125"/>
      <c r="V1498" s="111"/>
      <c r="W1498" s="112"/>
      <c r="X1498" s="113"/>
      <c r="Z1498" s="1"/>
      <c r="AA1498" s="1"/>
    </row>
    <row r="1499">
      <c r="D1499" s="4"/>
      <c r="H1499" s="1"/>
      <c r="I1499" s="1"/>
      <c r="Q1499" s="1"/>
      <c r="R1499" s="1"/>
      <c r="U1499" s="125"/>
      <c r="V1499" s="111"/>
      <c r="W1499" s="112"/>
      <c r="X1499" s="113"/>
      <c r="Z1499" s="1"/>
      <c r="AA1499" s="1"/>
    </row>
    <row r="1500">
      <c r="D1500" s="4"/>
      <c r="H1500" s="1"/>
      <c r="I1500" s="1"/>
      <c r="Q1500" s="1"/>
      <c r="R1500" s="1"/>
      <c r="U1500" s="125"/>
      <c r="V1500" s="111"/>
      <c r="W1500" s="112"/>
      <c r="X1500" s="113"/>
      <c r="Z1500" s="1"/>
      <c r="AA1500" s="1"/>
    </row>
    <row r="1501">
      <c r="D1501" s="4"/>
      <c r="H1501" s="1"/>
      <c r="I1501" s="1"/>
      <c r="Q1501" s="1"/>
      <c r="R1501" s="1"/>
      <c r="U1501" s="125"/>
      <c r="V1501" s="111"/>
      <c r="W1501" s="112"/>
      <c r="X1501" s="113"/>
      <c r="Z1501" s="1"/>
      <c r="AA1501" s="1"/>
    </row>
    <row r="1502">
      <c r="D1502" s="4"/>
      <c r="H1502" s="1"/>
      <c r="I1502" s="1"/>
      <c r="Q1502" s="1"/>
      <c r="R1502" s="1"/>
      <c r="U1502" s="125"/>
      <c r="V1502" s="111"/>
      <c r="W1502" s="112"/>
      <c r="X1502" s="113"/>
      <c r="Z1502" s="1"/>
      <c r="AA1502" s="1"/>
    </row>
    <row r="1503">
      <c r="D1503" s="4"/>
      <c r="H1503" s="1"/>
      <c r="I1503" s="1"/>
      <c r="Q1503" s="1"/>
      <c r="R1503" s="1"/>
      <c r="U1503" s="125"/>
      <c r="V1503" s="111"/>
      <c r="W1503" s="112"/>
      <c r="X1503" s="113"/>
      <c r="Z1503" s="1"/>
      <c r="AA1503" s="1"/>
    </row>
    <row r="1504">
      <c r="D1504" s="4"/>
      <c r="H1504" s="1"/>
      <c r="I1504" s="1"/>
      <c r="Q1504" s="1"/>
      <c r="R1504" s="1"/>
      <c r="U1504" s="125"/>
      <c r="V1504" s="111"/>
      <c r="W1504" s="112"/>
      <c r="X1504" s="113"/>
      <c r="Z1504" s="1"/>
      <c r="AA1504" s="1"/>
    </row>
    <row r="1505">
      <c r="D1505" s="4"/>
      <c r="H1505" s="1"/>
      <c r="I1505" s="1"/>
      <c r="Q1505" s="1"/>
      <c r="R1505" s="1"/>
      <c r="U1505" s="125"/>
      <c r="V1505" s="111"/>
      <c r="W1505" s="112"/>
      <c r="X1505" s="113"/>
      <c r="Z1505" s="1"/>
      <c r="AA1505" s="1"/>
    </row>
    <row r="1506">
      <c r="D1506" s="4"/>
      <c r="H1506" s="1"/>
      <c r="I1506" s="1"/>
      <c r="Q1506" s="1"/>
      <c r="R1506" s="1"/>
      <c r="U1506" s="125"/>
      <c r="V1506" s="111"/>
      <c r="W1506" s="112"/>
      <c r="X1506" s="113"/>
      <c r="Z1506" s="1"/>
      <c r="AA1506" s="1"/>
    </row>
    <row r="1507">
      <c r="D1507" s="4"/>
      <c r="H1507" s="1"/>
      <c r="I1507" s="1"/>
      <c r="Q1507" s="1"/>
      <c r="R1507" s="1"/>
      <c r="U1507" s="125"/>
      <c r="V1507" s="111"/>
      <c r="W1507" s="112"/>
      <c r="X1507" s="113"/>
      <c r="Z1507" s="1"/>
      <c r="AA1507" s="1"/>
    </row>
    <row r="1508">
      <c r="D1508" s="4"/>
      <c r="H1508" s="1"/>
      <c r="I1508" s="1"/>
      <c r="Q1508" s="1"/>
      <c r="R1508" s="1"/>
      <c r="U1508" s="125"/>
      <c r="V1508" s="111"/>
      <c r="W1508" s="112"/>
      <c r="X1508" s="113"/>
      <c r="Z1508" s="1"/>
      <c r="AA1508" s="1"/>
    </row>
    <row r="1509">
      <c r="D1509" s="4"/>
      <c r="H1509" s="1"/>
      <c r="I1509" s="1"/>
      <c r="Q1509" s="1"/>
      <c r="R1509" s="1"/>
      <c r="U1509" s="125"/>
      <c r="V1509" s="111"/>
      <c r="W1509" s="112"/>
      <c r="X1509" s="113"/>
      <c r="Z1509" s="1"/>
      <c r="AA1509" s="1"/>
    </row>
    <row r="1510">
      <c r="D1510" s="4"/>
      <c r="H1510" s="1"/>
      <c r="I1510" s="1"/>
      <c r="Q1510" s="1"/>
      <c r="R1510" s="1"/>
      <c r="U1510" s="125"/>
      <c r="V1510" s="111"/>
      <c r="W1510" s="112"/>
      <c r="X1510" s="113"/>
      <c r="Z1510" s="1"/>
      <c r="AA1510" s="1"/>
    </row>
    <row r="1511">
      <c r="D1511" s="4"/>
      <c r="H1511" s="1"/>
      <c r="I1511" s="1"/>
      <c r="Q1511" s="1"/>
      <c r="R1511" s="1"/>
      <c r="U1511" s="125"/>
      <c r="V1511" s="111"/>
      <c r="W1511" s="112"/>
      <c r="X1511" s="113"/>
      <c r="Z1511" s="1"/>
      <c r="AA1511" s="1"/>
    </row>
    <row r="1512">
      <c r="D1512" s="4"/>
      <c r="H1512" s="1"/>
      <c r="I1512" s="1"/>
      <c r="Q1512" s="1"/>
      <c r="R1512" s="1"/>
      <c r="U1512" s="125"/>
      <c r="V1512" s="111"/>
      <c r="W1512" s="112"/>
      <c r="X1512" s="113"/>
      <c r="Z1512" s="1"/>
      <c r="AA1512" s="1"/>
    </row>
    <row r="1513">
      <c r="D1513" s="4"/>
      <c r="H1513" s="1"/>
      <c r="I1513" s="1"/>
      <c r="Q1513" s="1"/>
      <c r="R1513" s="1"/>
      <c r="U1513" s="125"/>
      <c r="V1513" s="111"/>
      <c r="W1513" s="112"/>
      <c r="X1513" s="113"/>
      <c r="Z1513" s="1"/>
      <c r="AA1513" s="1"/>
    </row>
    <row r="1514">
      <c r="D1514" s="4"/>
      <c r="H1514" s="1"/>
      <c r="I1514" s="1"/>
      <c r="Q1514" s="1"/>
      <c r="R1514" s="1"/>
      <c r="U1514" s="125"/>
      <c r="V1514" s="111"/>
      <c r="W1514" s="112"/>
      <c r="X1514" s="113"/>
      <c r="Z1514" s="1"/>
      <c r="AA1514" s="1"/>
    </row>
    <row r="1515">
      <c r="D1515" s="4"/>
      <c r="H1515" s="1"/>
      <c r="I1515" s="1"/>
      <c r="Q1515" s="1"/>
      <c r="R1515" s="1"/>
      <c r="U1515" s="125"/>
      <c r="V1515" s="111"/>
      <c r="W1515" s="112"/>
      <c r="X1515" s="113"/>
      <c r="Z1515" s="1"/>
      <c r="AA1515" s="1"/>
    </row>
    <row r="1516">
      <c r="D1516" s="4"/>
      <c r="H1516" s="1"/>
      <c r="I1516" s="1"/>
      <c r="Q1516" s="1"/>
      <c r="R1516" s="1"/>
      <c r="U1516" s="125"/>
      <c r="V1516" s="111"/>
      <c r="W1516" s="112"/>
      <c r="X1516" s="113"/>
      <c r="Z1516" s="1"/>
      <c r="AA1516" s="1"/>
    </row>
    <row r="1517">
      <c r="D1517" s="4"/>
      <c r="H1517" s="1"/>
      <c r="I1517" s="1"/>
      <c r="Q1517" s="1"/>
      <c r="R1517" s="1"/>
      <c r="U1517" s="125"/>
      <c r="V1517" s="111"/>
      <c r="W1517" s="112"/>
      <c r="X1517" s="113"/>
      <c r="Z1517" s="1"/>
      <c r="AA1517" s="1"/>
    </row>
    <row r="1518">
      <c r="D1518" s="4"/>
      <c r="H1518" s="1"/>
      <c r="I1518" s="1"/>
      <c r="Q1518" s="1"/>
      <c r="R1518" s="1"/>
      <c r="U1518" s="125"/>
      <c r="V1518" s="111"/>
      <c r="W1518" s="112"/>
      <c r="X1518" s="113"/>
      <c r="Z1518" s="1"/>
      <c r="AA1518" s="1"/>
    </row>
    <row r="1519">
      <c r="D1519" s="4"/>
      <c r="H1519" s="1"/>
      <c r="I1519" s="1"/>
      <c r="Q1519" s="1"/>
      <c r="R1519" s="1"/>
      <c r="U1519" s="125"/>
      <c r="V1519" s="111"/>
      <c r="W1519" s="112"/>
      <c r="X1519" s="113"/>
      <c r="Z1519" s="1"/>
      <c r="AA1519" s="1"/>
    </row>
    <row r="1520">
      <c r="D1520" s="4"/>
      <c r="H1520" s="1"/>
      <c r="I1520" s="1"/>
      <c r="Q1520" s="1"/>
      <c r="R1520" s="1"/>
      <c r="U1520" s="125"/>
      <c r="V1520" s="111"/>
      <c r="W1520" s="112"/>
      <c r="X1520" s="113"/>
      <c r="Z1520" s="1"/>
      <c r="AA1520" s="1"/>
    </row>
    <row r="1521">
      <c r="D1521" s="4"/>
      <c r="H1521" s="1"/>
      <c r="I1521" s="1"/>
      <c r="Q1521" s="1"/>
      <c r="R1521" s="1"/>
      <c r="U1521" s="125"/>
      <c r="V1521" s="111"/>
      <c r="W1521" s="112"/>
      <c r="X1521" s="113"/>
      <c r="Z1521" s="1"/>
      <c r="AA1521" s="1"/>
    </row>
    <row r="1522">
      <c r="D1522" s="4"/>
      <c r="H1522" s="1"/>
      <c r="I1522" s="1"/>
      <c r="Q1522" s="1"/>
      <c r="R1522" s="1"/>
      <c r="U1522" s="125"/>
      <c r="V1522" s="111"/>
      <c r="W1522" s="112"/>
      <c r="X1522" s="113"/>
      <c r="Z1522" s="1"/>
      <c r="AA1522" s="1"/>
    </row>
    <row r="1523">
      <c r="D1523" s="4"/>
      <c r="H1523" s="1"/>
      <c r="I1523" s="1"/>
      <c r="Q1523" s="1"/>
      <c r="R1523" s="1"/>
      <c r="U1523" s="125"/>
      <c r="V1523" s="111"/>
      <c r="W1523" s="112"/>
      <c r="X1523" s="113"/>
      <c r="Z1523" s="1"/>
      <c r="AA1523" s="1"/>
    </row>
    <row r="1524">
      <c r="D1524" s="4"/>
      <c r="H1524" s="1"/>
      <c r="I1524" s="1"/>
      <c r="Q1524" s="1"/>
      <c r="R1524" s="1"/>
      <c r="U1524" s="125"/>
      <c r="V1524" s="111"/>
      <c r="W1524" s="112"/>
      <c r="X1524" s="113"/>
      <c r="Z1524" s="1"/>
      <c r="AA1524" s="1"/>
    </row>
    <row r="1525">
      <c r="D1525" s="4"/>
      <c r="H1525" s="1"/>
      <c r="I1525" s="1"/>
      <c r="Q1525" s="1"/>
      <c r="R1525" s="1"/>
      <c r="U1525" s="125"/>
      <c r="V1525" s="111"/>
      <c r="W1525" s="112"/>
      <c r="X1525" s="113"/>
      <c r="Z1525" s="1"/>
      <c r="AA1525" s="1"/>
    </row>
    <row r="1526">
      <c r="D1526" s="4"/>
      <c r="H1526" s="1"/>
      <c r="I1526" s="1"/>
      <c r="Q1526" s="1"/>
      <c r="R1526" s="1"/>
      <c r="U1526" s="125"/>
      <c r="V1526" s="111"/>
      <c r="W1526" s="112"/>
      <c r="X1526" s="113"/>
      <c r="Z1526" s="1"/>
      <c r="AA1526" s="1"/>
    </row>
    <row r="1527">
      <c r="D1527" s="4"/>
      <c r="H1527" s="1"/>
      <c r="I1527" s="1"/>
      <c r="Q1527" s="1"/>
      <c r="R1527" s="1"/>
      <c r="U1527" s="125"/>
      <c r="V1527" s="111"/>
      <c r="W1527" s="112"/>
      <c r="X1527" s="113"/>
      <c r="Z1527" s="1"/>
      <c r="AA1527" s="1"/>
    </row>
    <row r="1528">
      <c r="D1528" s="4"/>
      <c r="H1528" s="1"/>
      <c r="I1528" s="1"/>
      <c r="Q1528" s="1"/>
      <c r="R1528" s="1"/>
      <c r="U1528" s="125"/>
      <c r="V1528" s="111"/>
      <c r="W1528" s="112"/>
      <c r="X1528" s="113"/>
      <c r="Z1528" s="1"/>
      <c r="AA1528" s="1"/>
    </row>
    <row r="1529">
      <c r="D1529" s="4"/>
      <c r="H1529" s="1"/>
      <c r="I1529" s="1"/>
      <c r="Q1529" s="1"/>
      <c r="R1529" s="1"/>
      <c r="U1529" s="125"/>
      <c r="V1529" s="111"/>
      <c r="W1529" s="112"/>
      <c r="X1529" s="113"/>
      <c r="Z1529" s="1"/>
      <c r="AA1529" s="1"/>
    </row>
    <row r="1530">
      <c r="D1530" s="4"/>
      <c r="H1530" s="1"/>
      <c r="I1530" s="1"/>
      <c r="Q1530" s="1"/>
      <c r="R1530" s="1"/>
      <c r="U1530" s="125"/>
      <c r="V1530" s="111"/>
      <c r="W1530" s="112"/>
      <c r="X1530" s="113"/>
      <c r="Z1530" s="1"/>
      <c r="AA1530" s="1"/>
    </row>
    <row r="1531">
      <c r="D1531" s="4"/>
      <c r="H1531" s="1"/>
      <c r="I1531" s="1"/>
      <c r="Q1531" s="1"/>
      <c r="R1531" s="1"/>
      <c r="U1531" s="125"/>
      <c r="V1531" s="111"/>
      <c r="W1531" s="112"/>
      <c r="X1531" s="113"/>
      <c r="Z1531" s="1"/>
      <c r="AA1531" s="1"/>
    </row>
    <row r="1532">
      <c r="D1532" s="4"/>
      <c r="H1532" s="1"/>
      <c r="I1532" s="1"/>
      <c r="Q1532" s="1"/>
      <c r="R1532" s="1"/>
      <c r="U1532" s="125"/>
      <c r="V1532" s="111"/>
      <c r="W1532" s="112"/>
      <c r="X1532" s="113"/>
      <c r="Z1532" s="1"/>
      <c r="AA1532" s="1"/>
    </row>
    <row r="1533">
      <c r="D1533" s="4"/>
      <c r="H1533" s="1"/>
      <c r="I1533" s="1"/>
      <c r="Q1533" s="1"/>
      <c r="R1533" s="1"/>
      <c r="U1533" s="125"/>
      <c r="V1533" s="111"/>
      <c r="W1533" s="112"/>
      <c r="X1533" s="113"/>
      <c r="Z1533" s="1"/>
      <c r="AA1533" s="1"/>
    </row>
    <row r="1534">
      <c r="D1534" s="4"/>
      <c r="H1534" s="1"/>
      <c r="I1534" s="1"/>
      <c r="Q1534" s="1"/>
      <c r="R1534" s="1"/>
      <c r="U1534" s="125"/>
      <c r="V1534" s="111"/>
      <c r="W1534" s="112"/>
      <c r="X1534" s="113"/>
      <c r="Z1534" s="1"/>
      <c r="AA1534" s="1"/>
    </row>
    <row r="1535">
      <c r="D1535" s="4"/>
      <c r="H1535" s="1"/>
      <c r="I1535" s="1"/>
      <c r="Q1535" s="1"/>
      <c r="R1535" s="1"/>
      <c r="U1535" s="125"/>
      <c r="V1535" s="111"/>
      <c r="W1535" s="112"/>
      <c r="X1535" s="113"/>
      <c r="Z1535" s="1"/>
      <c r="AA1535" s="1"/>
    </row>
    <row r="1536">
      <c r="D1536" s="4"/>
      <c r="H1536" s="1"/>
      <c r="I1536" s="1"/>
      <c r="Q1536" s="1"/>
      <c r="R1536" s="1"/>
      <c r="U1536" s="125"/>
      <c r="V1536" s="111"/>
      <c r="W1536" s="112"/>
      <c r="X1536" s="113"/>
      <c r="Z1536" s="1"/>
      <c r="AA1536" s="1"/>
    </row>
    <row r="1537">
      <c r="D1537" s="4"/>
      <c r="H1537" s="1"/>
      <c r="I1537" s="1"/>
      <c r="Q1537" s="1"/>
      <c r="R1537" s="1"/>
      <c r="U1537" s="125"/>
      <c r="V1537" s="111"/>
      <c r="W1537" s="112"/>
      <c r="X1537" s="113"/>
      <c r="Z1537" s="1"/>
      <c r="AA1537" s="1"/>
    </row>
    <row r="1538">
      <c r="D1538" s="4"/>
      <c r="H1538" s="1"/>
      <c r="I1538" s="1"/>
      <c r="Q1538" s="1"/>
      <c r="R1538" s="1"/>
      <c r="U1538" s="125"/>
      <c r="V1538" s="111"/>
      <c r="W1538" s="112"/>
      <c r="X1538" s="113"/>
      <c r="Z1538" s="1"/>
      <c r="AA1538" s="1"/>
    </row>
    <row r="1539">
      <c r="D1539" s="4"/>
      <c r="H1539" s="1"/>
      <c r="I1539" s="1"/>
      <c r="Q1539" s="1"/>
      <c r="R1539" s="1"/>
      <c r="U1539" s="125"/>
      <c r="V1539" s="111"/>
      <c r="W1539" s="112"/>
      <c r="X1539" s="113"/>
      <c r="Z1539" s="1"/>
      <c r="AA1539" s="1"/>
    </row>
    <row r="1540">
      <c r="D1540" s="4"/>
      <c r="H1540" s="1"/>
      <c r="I1540" s="1"/>
      <c r="Q1540" s="1"/>
      <c r="R1540" s="1"/>
      <c r="U1540" s="125"/>
      <c r="V1540" s="111"/>
      <c r="W1540" s="112"/>
      <c r="X1540" s="113"/>
      <c r="Z1540" s="1"/>
      <c r="AA1540" s="1"/>
    </row>
    <row r="1541">
      <c r="D1541" s="4"/>
      <c r="H1541" s="1"/>
      <c r="I1541" s="1"/>
      <c r="Q1541" s="1"/>
      <c r="R1541" s="1"/>
      <c r="U1541" s="125"/>
      <c r="V1541" s="111"/>
      <c r="W1541" s="112"/>
      <c r="X1541" s="113"/>
      <c r="Z1541" s="1"/>
      <c r="AA1541" s="1"/>
    </row>
    <row r="1542">
      <c r="D1542" s="4"/>
      <c r="H1542" s="1"/>
      <c r="I1542" s="1"/>
      <c r="Q1542" s="1"/>
      <c r="R1542" s="1"/>
      <c r="U1542" s="125"/>
      <c r="V1542" s="111"/>
      <c r="W1542" s="112"/>
      <c r="X1542" s="113"/>
      <c r="Z1542" s="1"/>
      <c r="AA1542" s="1"/>
    </row>
    <row r="1543">
      <c r="D1543" s="4"/>
      <c r="H1543" s="1"/>
      <c r="I1543" s="1"/>
      <c r="Q1543" s="1"/>
      <c r="R1543" s="1"/>
      <c r="U1543" s="125"/>
      <c r="V1543" s="111"/>
      <c r="W1543" s="112"/>
      <c r="X1543" s="113"/>
      <c r="Z1543" s="1"/>
      <c r="AA1543" s="1"/>
    </row>
    <row r="1544">
      <c r="D1544" s="4"/>
      <c r="H1544" s="1"/>
      <c r="I1544" s="1"/>
      <c r="Q1544" s="1"/>
      <c r="R1544" s="1"/>
      <c r="U1544" s="125"/>
      <c r="V1544" s="111"/>
      <c r="W1544" s="112"/>
      <c r="X1544" s="113"/>
      <c r="Z1544" s="1"/>
      <c r="AA1544" s="1"/>
    </row>
    <row r="1545">
      <c r="D1545" s="4"/>
      <c r="H1545" s="1"/>
      <c r="I1545" s="1"/>
      <c r="Q1545" s="1"/>
      <c r="R1545" s="1"/>
      <c r="U1545" s="125"/>
      <c r="V1545" s="111"/>
      <c r="W1545" s="112"/>
      <c r="X1545" s="113"/>
      <c r="Z1545" s="1"/>
      <c r="AA1545" s="1"/>
    </row>
    <row r="1546">
      <c r="D1546" s="4"/>
      <c r="H1546" s="1"/>
      <c r="I1546" s="1"/>
      <c r="Q1546" s="1"/>
      <c r="R1546" s="1"/>
      <c r="U1546" s="125"/>
      <c r="V1546" s="111"/>
      <c r="W1546" s="112"/>
      <c r="X1546" s="113"/>
      <c r="Z1546" s="1"/>
      <c r="AA1546" s="1"/>
    </row>
    <row r="1547">
      <c r="D1547" s="4"/>
      <c r="H1547" s="1"/>
      <c r="I1547" s="1"/>
      <c r="Q1547" s="1"/>
      <c r="R1547" s="1"/>
      <c r="U1547" s="125"/>
      <c r="V1547" s="111"/>
      <c r="W1547" s="112"/>
      <c r="X1547" s="113"/>
      <c r="Z1547" s="1"/>
      <c r="AA1547" s="1"/>
    </row>
    <row r="1548">
      <c r="D1548" s="4"/>
      <c r="H1548" s="1"/>
      <c r="I1548" s="1"/>
      <c r="Q1548" s="1"/>
      <c r="R1548" s="1"/>
      <c r="U1548" s="125"/>
      <c r="V1548" s="111"/>
      <c r="W1548" s="112"/>
      <c r="X1548" s="113"/>
      <c r="Z1548" s="1"/>
      <c r="AA1548" s="1"/>
    </row>
    <row r="1549">
      <c r="D1549" s="4"/>
      <c r="H1549" s="1"/>
      <c r="I1549" s="1"/>
      <c r="Q1549" s="1"/>
      <c r="R1549" s="1"/>
      <c r="U1549" s="125"/>
      <c r="V1549" s="111"/>
      <c r="W1549" s="112"/>
      <c r="X1549" s="113"/>
      <c r="Z1549" s="1"/>
      <c r="AA1549" s="1"/>
    </row>
    <row r="1550">
      <c r="D1550" s="4"/>
      <c r="H1550" s="1"/>
      <c r="I1550" s="1"/>
      <c r="Q1550" s="1"/>
      <c r="R1550" s="1"/>
      <c r="U1550" s="125"/>
      <c r="V1550" s="111"/>
      <c r="W1550" s="112"/>
      <c r="X1550" s="113"/>
      <c r="Z1550" s="1"/>
      <c r="AA1550" s="1"/>
    </row>
    <row r="1551">
      <c r="D1551" s="4"/>
      <c r="H1551" s="1"/>
      <c r="I1551" s="1"/>
      <c r="Q1551" s="1"/>
      <c r="R1551" s="1"/>
      <c r="U1551" s="125"/>
      <c r="V1551" s="111"/>
      <c r="W1551" s="112"/>
      <c r="X1551" s="113"/>
      <c r="Z1551" s="1"/>
      <c r="AA1551" s="1"/>
    </row>
    <row r="1552">
      <c r="D1552" s="4"/>
      <c r="H1552" s="1"/>
      <c r="I1552" s="1"/>
      <c r="Q1552" s="1"/>
      <c r="R1552" s="1"/>
      <c r="U1552" s="125"/>
      <c r="V1552" s="111"/>
      <c r="W1552" s="112"/>
      <c r="X1552" s="113"/>
      <c r="Z1552" s="1"/>
      <c r="AA1552" s="1"/>
    </row>
    <row r="1553">
      <c r="D1553" s="4"/>
      <c r="H1553" s="1"/>
      <c r="I1553" s="1"/>
      <c r="Q1553" s="1"/>
      <c r="R1553" s="1"/>
      <c r="U1553" s="125"/>
      <c r="V1553" s="111"/>
      <c r="W1553" s="112"/>
      <c r="X1553" s="113"/>
      <c r="Z1553" s="1"/>
      <c r="AA1553" s="1"/>
    </row>
    <row r="1554">
      <c r="D1554" s="4"/>
      <c r="H1554" s="1"/>
      <c r="I1554" s="1"/>
      <c r="Q1554" s="1"/>
      <c r="R1554" s="1"/>
      <c r="U1554" s="125"/>
      <c r="V1554" s="111"/>
      <c r="W1554" s="112"/>
      <c r="X1554" s="113"/>
      <c r="Z1554" s="1"/>
      <c r="AA1554" s="1"/>
    </row>
    <row r="1555">
      <c r="D1555" s="4"/>
      <c r="H1555" s="1"/>
      <c r="I1555" s="1"/>
      <c r="Q1555" s="1"/>
      <c r="R1555" s="1"/>
      <c r="U1555" s="125"/>
      <c r="V1555" s="111"/>
      <c r="W1555" s="112"/>
      <c r="X1555" s="113"/>
      <c r="Z1555" s="1"/>
      <c r="AA1555" s="1"/>
    </row>
    <row r="1556">
      <c r="D1556" s="4"/>
      <c r="H1556" s="1"/>
      <c r="I1556" s="1"/>
      <c r="Q1556" s="1"/>
      <c r="R1556" s="1"/>
      <c r="U1556" s="125"/>
      <c r="V1556" s="111"/>
      <c r="W1556" s="112"/>
      <c r="X1556" s="113"/>
      <c r="Z1556" s="1"/>
      <c r="AA1556" s="1"/>
    </row>
    <row r="1557">
      <c r="D1557" s="4"/>
      <c r="H1557" s="1"/>
      <c r="I1557" s="1"/>
      <c r="Q1557" s="1"/>
      <c r="R1557" s="1"/>
      <c r="U1557" s="125"/>
      <c r="V1557" s="111"/>
      <c r="W1557" s="112"/>
      <c r="X1557" s="113"/>
      <c r="Z1557" s="1"/>
      <c r="AA1557" s="1"/>
    </row>
    <row r="1558">
      <c r="D1558" s="4"/>
      <c r="H1558" s="1"/>
      <c r="I1558" s="1"/>
      <c r="Q1558" s="1"/>
      <c r="R1558" s="1"/>
      <c r="U1558" s="125"/>
      <c r="V1558" s="111"/>
      <c r="W1558" s="112"/>
      <c r="X1558" s="113"/>
      <c r="Z1558" s="1"/>
      <c r="AA1558" s="1"/>
    </row>
    <row r="1559">
      <c r="D1559" s="4"/>
      <c r="H1559" s="1"/>
      <c r="I1559" s="1"/>
      <c r="Q1559" s="1"/>
      <c r="R1559" s="1"/>
      <c r="U1559" s="125"/>
      <c r="V1559" s="111"/>
      <c r="W1559" s="112"/>
      <c r="X1559" s="113"/>
      <c r="Z1559" s="1"/>
      <c r="AA1559" s="1"/>
    </row>
    <row r="1560">
      <c r="D1560" s="4"/>
      <c r="H1560" s="1"/>
      <c r="I1560" s="1"/>
      <c r="Q1560" s="1"/>
      <c r="R1560" s="1"/>
      <c r="U1560" s="125"/>
      <c r="V1560" s="111"/>
      <c r="W1560" s="112"/>
      <c r="X1560" s="113"/>
      <c r="Z1560" s="1"/>
      <c r="AA1560" s="1"/>
    </row>
    <row r="1561">
      <c r="D1561" s="4"/>
      <c r="H1561" s="1"/>
      <c r="I1561" s="1"/>
      <c r="Q1561" s="1"/>
      <c r="R1561" s="1"/>
      <c r="U1561" s="125"/>
      <c r="V1561" s="111"/>
      <c r="W1561" s="112"/>
      <c r="X1561" s="113"/>
      <c r="Z1561" s="1"/>
      <c r="AA1561" s="1"/>
    </row>
    <row r="1562">
      <c r="D1562" s="4"/>
      <c r="H1562" s="1"/>
      <c r="I1562" s="1"/>
      <c r="Q1562" s="1"/>
      <c r="R1562" s="1"/>
      <c r="U1562" s="125"/>
      <c r="V1562" s="111"/>
      <c r="W1562" s="112"/>
      <c r="X1562" s="113"/>
      <c r="Z1562" s="1"/>
      <c r="AA1562" s="1"/>
    </row>
    <row r="1563">
      <c r="D1563" s="4"/>
      <c r="H1563" s="1"/>
      <c r="I1563" s="1"/>
      <c r="Q1563" s="1"/>
      <c r="R1563" s="1"/>
      <c r="U1563" s="125"/>
      <c r="V1563" s="111"/>
      <c r="W1563" s="112"/>
      <c r="X1563" s="113"/>
      <c r="Z1563" s="1"/>
      <c r="AA1563" s="1"/>
    </row>
    <row r="1564">
      <c r="D1564" s="4"/>
      <c r="H1564" s="1"/>
      <c r="I1564" s="1"/>
      <c r="Q1564" s="1"/>
      <c r="R1564" s="1"/>
      <c r="U1564" s="125"/>
      <c r="V1564" s="111"/>
      <c r="W1564" s="112"/>
      <c r="X1564" s="113"/>
      <c r="Z1564" s="1"/>
      <c r="AA1564" s="1"/>
    </row>
    <row r="1565">
      <c r="D1565" s="4"/>
      <c r="H1565" s="1"/>
      <c r="I1565" s="1"/>
      <c r="Q1565" s="1"/>
      <c r="R1565" s="1"/>
      <c r="U1565" s="125"/>
      <c r="V1565" s="111"/>
      <c r="W1565" s="112"/>
      <c r="X1565" s="113"/>
      <c r="Z1565" s="1"/>
      <c r="AA1565" s="1"/>
    </row>
    <row r="1566">
      <c r="D1566" s="4"/>
      <c r="H1566" s="1"/>
      <c r="I1566" s="1"/>
      <c r="Q1566" s="1"/>
      <c r="R1566" s="1"/>
      <c r="U1566" s="125"/>
      <c r="V1566" s="111"/>
      <c r="W1566" s="112"/>
      <c r="X1566" s="113"/>
      <c r="Z1566" s="1"/>
      <c r="AA1566" s="1"/>
    </row>
    <row r="1567">
      <c r="D1567" s="4"/>
      <c r="H1567" s="1"/>
      <c r="I1567" s="1"/>
      <c r="Q1567" s="1"/>
      <c r="R1567" s="1"/>
      <c r="U1567" s="125"/>
      <c r="V1567" s="111"/>
      <c r="W1567" s="112"/>
      <c r="X1567" s="113"/>
      <c r="Z1567" s="1"/>
      <c r="AA1567" s="1"/>
    </row>
    <row r="1568">
      <c r="D1568" s="4"/>
      <c r="H1568" s="1"/>
      <c r="I1568" s="1"/>
      <c r="Q1568" s="1"/>
      <c r="R1568" s="1"/>
      <c r="U1568" s="125"/>
      <c r="V1568" s="111"/>
      <c r="W1568" s="112"/>
      <c r="X1568" s="113"/>
      <c r="Z1568" s="1"/>
      <c r="AA1568" s="1"/>
    </row>
    <row r="1569">
      <c r="D1569" s="4"/>
      <c r="H1569" s="1"/>
      <c r="I1569" s="1"/>
      <c r="Q1569" s="1"/>
      <c r="R1569" s="1"/>
      <c r="U1569" s="125"/>
      <c r="V1569" s="111"/>
      <c r="W1569" s="112"/>
      <c r="X1569" s="113"/>
      <c r="Z1569" s="1"/>
      <c r="AA1569" s="1"/>
    </row>
    <row r="1570">
      <c r="D1570" s="4"/>
      <c r="H1570" s="1"/>
      <c r="I1570" s="1"/>
      <c r="Q1570" s="1"/>
      <c r="R1570" s="1"/>
      <c r="U1570" s="125"/>
      <c r="V1570" s="111"/>
      <c r="W1570" s="112"/>
      <c r="X1570" s="113"/>
      <c r="Z1570" s="1"/>
      <c r="AA1570" s="1"/>
    </row>
    <row r="1571">
      <c r="D1571" s="4"/>
      <c r="H1571" s="1"/>
      <c r="I1571" s="1"/>
      <c r="Q1571" s="1"/>
      <c r="R1571" s="1"/>
      <c r="U1571" s="125"/>
      <c r="V1571" s="111"/>
      <c r="W1571" s="112"/>
      <c r="X1571" s="113"/>
      <c r="Z1571" s="1"/>
      <c r="AA1571" s="1"/>
    </row>
    <row r="1572">
      <c r="D1572" s="4"/>
      <c r="H1572" s="1"/>
      <c r="I1572" s="1"/>
      <c r="Q1572" s="1"/>
      <c r="R1572" s="1"/>
      <c r="U1572" s="125"/>
      <c r="V1572" s="111"/>
      <c r="W1572" s="112"/>
      <c r="X1572" s="113"/>
      <c r="Z1572" s="1"/>
      <c r="AA1572" s="1"/>
    </row>
    <row r="1573">
      <c r="D1573" s="4"/>
      <c r="H1573" s="1"/>
      <c r="I1573" s="1"/>
      <c r="Q1573" s="1"/>
      <c r="R1573" s="1"/>
      <c r="U1573" s="125"/>
      <c r="V1573" s="111"/>
      <c r="W1573" s="112"/>
      <c r="X1573" s="113"/>
      <c r="Z1573" s="1"/>
      <c r="AA1573" s="1"/>
    </row>
    <row r="1574">
      <c r="D1574" s="4"/>
      <c r="H1574" s="1"/>
      <c r="I1574" s="1"/>
      <c r="Q1574" s="1"/>
      <c r="R1574" s="1"/>
      <c r="U1574" s="125"/>
      <c r="V1574" s="111"/>
      <c r="W1574" s="112"/>
      <c r="X1574" s="113"/>
      <c r="Z1574" s="1"/>
      <c r="AA1574" s="1"/>
    </row>
    <row r="1575">
      <c r="D1575" s="4"/>
      <c r="H1575" s="1"/>
      <c r="I1575" s="1"/>
      <c r="Q1575" s="1"/>
      <c r="R1575" s="1"/>
      <c r="U1575" s="125"/>
      <c r="V1575" s="111"/>
      <c r="W1575" s="112"/>
      <c r="X1575" s="113"/>
      <c r="Z1575" s="1"/>
      <c r="AA1575" s="1"/>
    </row>
    <row r="1576">
      <c r="D1576" s="4"/>
      <c r="H1576" s="1"/>
      <c r="I1576" s="1"/>
      <c r="Q1576" s="1"/>
      <c r="R1576" s="1"/>
      <c r="U1576" s="125"/>
      <c r="V1576" s="111"/>
      <c r="W1576" s="112"/>
      <c r="X1576" s="113"/>
      <c r="Z1576" s="1"/>
      <c r="AA1576" s="1"/>
    </row>
    <row r="1577">
      <c r="D1577" s="4"/>
      <c r="H1577" s="1"/>
      <c r="I1577" s="1"/>
      <c r="Q1577" s="1"/>
      <c r="R1577" s="1"/>
      <c r="U1577" s="125"/>
      <c r="V1577" s="111"/>
      <c r="W1577" s="112"/>
      <c r="X1577" s="113"/>
      <c r="Z1577" s="1"/>
      <c r="AA1577" s="1"/>
    </row>
    <row r="1578">
      <c r="D1578" s="4"/>
      <c r="H1578" s="1"/>
      <c r="I1578" s="1"/>
      <c r="Q1578" s="1"/>
      <c r="R1578" s="1"/>
      <c r="U1578" s="125"/>
      <c r="V1578" s="111"/>
      <c r="W1578" s="112"/>
      <c r="X1578" s="113"/>
      <c r="Z1578" s="1"/>
      <c r="AA1578" s="1"/>
    </row>
    <row r="1579">
      <c r="D1579" s="4"/>
      <c r="H1579" s="1"/>
      <c r="I1579" s="1"/>
      <c r="Q1579" s="1"/>
      <c r="R1579" s="1"/>
      <c r="U1579" s="125"/>
      <c r="V1579" s="111"/>
      <c r="W1579" s="112"/>
      <c r="X1579" s="113"/>
      <c r="Z1579" s="1"/>
      <c r="AA1579" s="1"/>
    </row>
    <row r="1580">
      <c r="D1580" s="4"/>
      <c r="H1580" s="1"/>
      <c r="I1580" s="1"/>
      <c r="Q1580" s="1"/>
      <c r="R1580" s="1"/>
      <c r="U1580" s="125"/>
      <c r="V1580" s="111"/>
      <c r="W1580" s="112"/>
      <c r="X1580" s="113"/>
      <c r="Z1580" s="1"/>
      <c r="AA1580" s="1"/>
    </row>
    <row r="1581">
      <c r="D1581" s="4"/>
      <c r="H1581" s="1"/>
      <c r="I1581" s="1"/>
      <c r="Q1581" s="1"/>
      <c r="R1581" s="1"/>
      <c r="U1581" s="125"/>
      <c r="V1581" s="111"/>
      <c r="W1581" s="112"/>
      <c r="X1581" s="113"/>
      <c r="Z1581" s="1"/>
      <c r="AA1581" s="1"/>
    </row>
    <row r="1582">
      <c r="D1582" s="4"/>
      <c r="H1582" s="1"/>
      <c r="I1582" s="1"/>
      <c r="Q1582" s="1"/>
      <c r="R1582" s="1"/>
      <c r="U1582" s="125"/>
      <c r="V1582" s="111"/>
      <c r="W1582" s="112"/>
      <c r="X1582" s="113"/>
      <c r="Z1582" s="1"/>
      <c r="AA1582" s="1"/>
    </row>
    <row r="1583">
      <c r="D1583" s="4"/>
      <c r="H1583" s="1"/>
      <c r="I1583" s="1"/>
      <c r="Q1583" s="1"/>
      <c r="R1583" s="1"/>
      <c r="U1583" s="125"/>
      <c r="V1583" s="111"/>
      <c r="W1583" s="112"/>
      <c r="X1583" s="113"/>
      <c r="Z1583" s="1"/>
      <c r="AA1583" s="1"/>
    </row>
    <row r="1584">
      <c r="D1584" s="4"/>
      <c r="H1584" s="1"/>
      <c r="I1584" s="1"/>
      <c r="Q1584" s="1"/>
      <c r="R1584" s="1"/>
      <c r="U1584" s="125"/>
      <c r="V1584" s="111"/>
      <c r="W1584" s="112"/>
      <c r="X1584" s="113"/>
      <c r="Z1584" s="1"/>
      <c r="AA1584" s="1"/>
    </row>
    <row r="1585">
      <c r="D1585" s="4"/>
      <c r="H1585" s="1"/>
      <c r="I1585" s="1"/>
      <c r="Q1585" s="1"/>
      <c r="R1585" s="1"/>
      <c r="U1585" s="125"/>
      <c r="V1585" s="111"/>
      <c r="W1585" s="112"/>
      <c r="X1585" s="113"/>
      <c r="Z1585" s="1"/>
      <c r="AA1585" s="1"/>
    </row>
    <row r="1586">
      <c r="D1586" s="4"/>
      <c r="H1586" s="1"/>
      <c r="I1586" s="1"/>
      <c r="Q1586" s="1"/>
      <c r="R1586" s="1"/>
      <c r="U1586" s="125"/>
      <c r="V1586" s="111"/>
      <c r="W1586" s="112"/>
      <c r="X1586" s="113"/>
      <c r="Z1586" s="1"/>
      <c r="AA1586" s="1"/>
    </row>
    <row r="1587">
      <c r="D1587" s="4"/>
      <c r="H1587" s="1"/>
      <c r="I1587" s="1"/>
      <c r="Q1587" s="1"/>
      <c r="R1587" s="1"/>
      <c r="U1587" s="125"/>
      <c r="V1587" s="111"/>
      <c r="W1587" s="112"/>
      <c r="X1587" s="113"/>
      <c r="Z1587" s="1"/>
      <c r="AA1587" s="1"/>
    </row>
    <row r="1588">
      <c r="D1588" s="4"/>
      <c r="H1588" s="1"/>
      <c r="I1588" s="1"/>
      <c r="Q1588" s="1"/>
      <c r="R1588" s="1"/>
      <c r="U1588" s="125"/>
      <c r="V1588" s="111"/>
      <c r="W1588" s="112"/>
      <c r="X1588" s="113"/>
      <c r="Z1588" s="1"/>
      <c r="AA1588" s="1"/>
    </row>
    <row r="1589">
      <c r="D1589" s="4"/>
      <c r="H1589" s="1"/>
      <c r="I1589" s="1"/>
      <c r="Q1589" s="1"/>
      <c r="R1589" s="1"/>
      <c r="U1589" s="125"/>
      <c r="V1589" s="111"/>
      <c r="W1589" s="112"/>
      <c r="X1589" s="113"/>
      <c r="Z1589" s="1"/>
      <c r="AA1589" s="1"/>
    </row>
    <row r="1590">
      <c r="D1590" s="4"/>
      <c r="H1590" s="1"/>
      <c r="I1590" s="1"/>
      <c r="Q1590" s="1"/>
      <c r="R1590" s="1"/>
      <c r="U1590" s="125"/>
      <c r="V1590" s="111"/>
      <c r="W1590" s="112"/>
      <c r="X1590" s="113"/>
      <c r="Z1590" s="1"/>
      <c r="AA1590" s="1"/>
    </row>
    <row r="1591">
      <c r="D1591" s="4"/>
      <c r="H1591" s="1"/>
      <c r="I1591" s="1"/>
      <c r="Q1591" s="1"/>
      <c r="R1591" s="1"/>
      <c r="U1591" s="125"/>
      <c r="V1591" s="111"/>
      <c r="W1591" s="112"/>
      <c r="X1591" s="113"/>
      <c r="Z1591" s="1"/>
      <c r="AA1591" s="1"/>
    </row>
    <row r="1592">
      <c r="D1592" s="4"/>
      <c r="H1592" s="1"/>
      <c r="I1592" s="1"/>
      <c r="Q1592" s="1"/>
      <c r="R1592" s="1"/>
      <c r="U1592" s="125"/>
      <c r="V1592" s="111"/>
      <c r="W1592" s="112"/>
      <c r="X1592" s="113"/>
      <c r="Z1592" s="1"/>
      <c r="AA1592" s="1"/>
    </row>
    <row r="1593">
      <c r="D1593" s="4"/>
      <c r="H1593" s="1"/>
      <c r="I1593" s="1"/>
      <c r="Q1593" s="1"/>
      <c r="R1593" s="1"/>
      <c r="U1593" s="125"/>
      <c r="V1593" s="111"/>
      <c r="W1593" s="112"/>
      <c r="X1593" s="113"/>
      <c r="Z1593" s="1"/>
      <c r="AA1593" s="1"/>
    </row>
    <row r="1594">
      <c r="D1594" s="4"/>
      <c r="H1594" s="1"/>
      <c r="I1594" s="1"/>
      <c r="Q1594" s="1"/>
      <c r="R1594" s="1"/>
      <c r="U1594" s="125"/>
      <c r="V1594" s="111"/>
      <c r="W1594" s="112"/>
      <c r="X1594" s="113"/>
      <c r="Z1594" s="1"/>
      <c r="AA1594" s="1"/>
    </row>
    <row r="1595">
      <c r="D1595" s="4"/>
      <c r="H1595" s="1"/>
      <c r="I1595" s="1"/>
      <c r="Q1595" s="1"/>
      <c r="R1595" s="1"/>
      <c r="U1595" s="125"/>
      <c r="V1595" s="111"/>
      <c r="W1595" s="112"/>
      <c r="X1595" s="113"/>
      <c r="Z1595" s="1"/>
      <c r="AA1595" s="1"/>
    </row>
    <row r="1596">
      <c r="D1596" s="4"/>
      <c r="H1596" s="1"/>
      <c r="I1596" s="1"/>
      <c r="Q1596" s="1"/>
      <c r="R1596" s="1"/>
      <c r="U1596" s="125"/>
      <c r="V1596" s="111"/>
      <c r="W1596" s="112"/>
      <c r="X1596" s="113"/>
      <c r="Z1596" s="1"/>
      <c r="AA1596" s="1"/>
    </row>
    <row r="1597">
      <c r="D1597" s="4"/>
      <c r="H1597" s="1"/>
      <c r="I1597" s="1"/>
      <c r="Q1597" s="1"/>
      <c r="R1597" s="1"/>
      <c r="U1597" s="125"/>
      <c r="V1597" s="111"/>
      <c r="W1597" s="112"/>
      <c r="X1597" s="113"/>
      <c r="Z1597" s="1"/>
      <c r="AA1597" s="1"/>
    </row>
    <row r="1598">
      <c r="D1598" s="4"/>
      <c r="H1598" s="1"/>
      <c r="I1598" s="1"/>
      <c r="Q1598" s="1"/>
      <c r="R1598" s="1"/>
      <c r="U1598" s="125"/>
      <c r="V1598" s="111"/>
      <c r="W1598" s="112"/>
      <c r="X1598" s="113"/>
      <c r="Z1598" s="1"/>
      <c r="AA1598" s="1"/>
    </row>
    <row r="1599">
      <c r="D1599" s="4"/>
      <c r="H1599" s="1"/>
      <c r="I1599" s="1"/>
      <c r="Q1599" s="1"/>
      <c r="R1599" s="1"/>
      <c r="U1599" s="125"/>
      <c r="V1599" s="111"/>
      <c r="W1599" s="112"/>
      <c r="X1599" s="113"/>
      <c r="Z1599" s="1"/>
      <c r="AA1599" s="1"/>
    </row>
    <row r="1600">
      <c r="D1600" s="4"/>
      <c r="H1600" s="1"/>
      <c r="I1600" s="1"/>
      <c r="Q1600" s="1"/>
      <c r="R1600" s="1"/>
      <c r="U1600" s="125"/>
      <c r="V1600" s="111"/>
      <c r="W1600" s="112"/>
      <c r="X1600" s="113"/>
      <c r="Z1600" s="1"/>
      <c r="AA1600" s="1"/>
    </row>
    <row r="1601">
      <c r="D1601" s="4"/>
      <c r="H1601" s="1"/>
      <c r="I1601" s="1"/>
      <c r="Q1601" s="1"/>
      <c r="R1601" s="1"/>
      <c r="U1601" s="125"/>
      <c r="V1601" s="111"/>
      <c r="W1601" s="112"/>
      <c r="X1601" s="113"/>
      <c r="Z1601" s="1"/>
      <c r="AA1601" s="1"/>
    </row>
    <row r="1602">
      <c r="D1602" s="4"/>
      <c r="H1602" s="1"/>
      <c r="I1602" s="1"/>
      <c r="Q1602" s="1"/>
      <c r="R1602" s="1"/>
      <c r="U1602" s="125"/>
      <c r="V1602" s="111"/>
      <c r="W1602" s="112"/>
      <c r="X1602" s="113"/>
      <c r="Z1602" s="1"/>
      <c r="AA1602" s="1"/>
    </row>
    <row r="1603">
      <c r="D1603" s="4"/>
      <c r="H1603" s="1"/>
      <c r="I1603" s="1"/>
      <c r="Q1603" s="1"/>
      <c r="R1603" s="1"/>
      <c r="U1603" s="125"/>
      <c r="V1603" s="111"/>
      <c r="W1603" s="112"/>
      <c r="X1603" s="113"/>
      <c r="Z1603" s="1"/>
      <c r="AA1603" s="1"/>
    </row>
    <row r="1604">
      <c r="D1604" s="4"/>
      <c r="H1604" s="1"/>
      <c r="I1604" s="1"/>
      <c r="Q1604" s="1"/>
      <c r="R1604" s="1"/>
      <c r="U1604" s="125"/>
      <c r="V1604" s="111"/>
      <c r="W1604" s="112"/>
      <c r="X1604" s="113"/>
      <c r="Z1604" s="1"/>
      <c r="AA1604" s="1"/>
    </row>
    <row r="1605">
      <c r="D1605" s="4"/>
      <c r="H1605" s="1"/>
      <c r="I1605" s="1"/>
      <c r="Q1605" s="1"/>
      <c r="R1605" s="1"/>
      <c r="U1605" s="125"/>
      <c r="V1605" s="111"/>
      <c r="W1605" s="112"/>
      <c r="X1605" s="113"/>
      <c r="Z1605" s="1"/>
      <c r="AA1605" s="1"/>
    </row>
    <row r="1606">
      <c r="D1606" s="4"/>
      <c r="H1606" s="1"/>
      <c r="I1606" s="1"/>
      <c r="Q1606" s="1"/>
      <c r="R1606" s="1"/>
      <c r="U1606" s="125"/>
      <c r="V1606" s="111"/>
      <c r="W1606" s="112"/>
      <c r="X1606" s="113"/>
      <c r="Z1606" s="1"/>
      <c r="AA1606" s="1"/>
    </row>
    <row r="1607">
      <c r="D1607" s="4"/>
      <c r="H1607" s="1"/>
      <c r="I1607" s="1"/>
      <c r="Q1607" s="1"/>
      <c r="R1607" s="1"/>
      <c r="U1607" s="125"/>
      <c r="V1607" s="111"/>
      <c r="W1607" s="112"/>
      <c r="X1607" s="113"/>
      <c r="Z1607" s="1"/>
      <c r="AA1607" s="1"/>
    </row>
    <row r="1608">
      <c r="D1608" s="4"/>
      <c r="H1608" s="1"/>
      <c r="I1608" s="1"/>
      <c r="Q1608" s="1"/>
      <c r="R1608" s="1"/>
      <c r="U1608" s="125"/>
      <c r="V1608" s="111"/>
      <c r="W1608" s="112"/>
      <c r="X1608" s="113"/>
      <c r="Z1608" s="1"/>
      <c r="AA1608" s="1"/>
    </row>
    <row r="1609">
      <c r="D1609" s="4"/>
      <c r="H1609" s="1"/>
      <c r="I1609" s="1"/>
      <c r="Q1609" s="1"/>
      <c r="R1609" s="1"/>
      <c r="U1609" s="125"/>
      <c r="V1609" s="111"/>
      <c r="W1609" s="112"/>
      <c r="X1609" s="113"/>
      <c r="Z1609" s="1"/>
      <c r="AA1609" s="1"/>
    </row>
    <row r="1610">
      <c r="D1610" s="4"/>
      <c r="H1610" s="1"/>
      <c r="I1610" s="1"/>
      <c r="Q1610" s="1"/>
      <c r="R1610" s="1"/>
      <c r="U1610" s="125"/>
      <c r="V1610" s="111"/>
      <c r="W1610" s="112"/>
      <c r="X1610" s="113"/>
      <c r="Z1610" s="1"/>
      <c r="AA1610" s="1"/>
    </row>
    <row r="1611">
      <c r="D1611" s="4"/>
      <c r="H1611" s="1"/>
      <c r="I1611" s="1"/>
      <c r="Q1611" s="1"/>
      <c r="R1611" s="1"/>
      <c r="U1611" s="125"/>
      <c r="V1611" s="111"/>
      <c r="W1611" s="112"/>
      <c r="X1611" s="113"/>
      <c r="Z1611" s="1"/>
      <c r="AA1611" s="1"/>
    </row>
    <row r="1612">
      <c r="D1612" s="4"/>
      <c r="H1612" s="1"/>
      <c r="I1612" s="1"/>
      <c r="Q1612" s="1"/>
      <c r="R1612" s="1"/>
      <c r="U1612" s="125"/>
      <c r="V1612" s="111"/>
      <c r="W1612" s="112"/>
      <c r="X1612" s="113"/>
      <c r="Z1612" s="1"/>
      <c r="AA1612" s="1"/>
    </row>
    <row r="1613">
      <c r="D1613" s="4"/>
      <c r="H1613" s="1"/>
      <c r="I1613" s="1"/>
      <c r="Q1613" s="1"/>
      <c r="R1613" s="1"/>
      <c r="U1613" s="125"/>
      <c r="V1613" s="111"/>
      <c r="W1613" s="112"/>
      <c r="X1613" s="113"/>
      <c r="Z1613" s="1"/>
      <c r="AA1613" s="1"/>
    </row>
    <row r="1614">
      <c r="D1614" s="4"/>
      <c r="H1614" s="1"/>
      <c r="I1614" s="1"/>
      <c r="Q1614" s="1"/>
      <c r="R1614" s="1"/>
      <c r="U1614" s="125"/>
      <c r="V1614" s="111"/>
      <c r="W1614" s="112"/>
      <c r="X1614" s="113"/>
      <c r="Z1614" s="1"/>
      <c r="AA1614" s="1"/>
    </row>
    <row r="1615">
      <c r="D1615" s="4"/>
      <c r="H1615" s="1"/>
      <c r="I1615" s="1"/>
      <c r="Q1615" s="1"/>
      <c r="R1615" s="1"/>
      <c r="U1615" s="125"/>
      <c r="V1615" s="111"/>
      <c r="W1615" s="112"/>
      <c r="X1615" s="113"/>
      <c r="Z1615" s="1"/>
      <c r="AA1615" s="1"/>
    </row>
    <row r="1616">
      <c r="D1616" s="4"/>
      <c r="H1616" s="1"/>
      <c r="I1616" s="1"/>
      <c r="Q1616" s="1"/>
      <c r="R1616" s="1"/>
      <c r="U1616" s="125"/>
      <c r="V1616" s="111"/>
      <c r="W1616" s="112"/>
      <c r="X1616" s="113"/>
      <c r="Z1616" s="1"/>
      <c r="AA1616" s="1"/>
    </row>
    <row r="1617">
      <c r="D1617" s="4"/>
      <c r="H1617" s="1"/>
      <c r="I1617" s="1"/>
      <c r="Q1617" s="1"/>
      <c r="R1617" s="1"/>
      <c r="U1617" s="125"/>
      <c r="V1617" s="111"/>
      <c r="W1617" s="112"/>
      <c r="X1617" s="113"/>
      <c r="Z1617" s="1"/>
      <c r="AA1617" s="1"/>
    </row>
    <row r="1618">
      <c r="D1618" s="4"/>
      <c r="H1618" s="1"/>
      <c r="I1618" s="1"/>
      <c r="Q1618" s="1"/>
      <c r="R1618" s="1"/>
      <c r="U1618" s="125"/>
      <c r="V1618" s="111"/>
      <c r="W1618" s="112"/>
      <c r="X1618" s="113"/>
      <c r="Z1618" s="1"/>
      <c r="AA1618" s="1"/>
    </row>
    <row r="1619">
      <c r="D1619" s="4"/>
      <c r="H1619" s="1"/>
      <c r="I1619" s="1"/>
      <c r="Q1619" s="1"/>
      <c r="R1619" s="1"/>
      <c r="U1619" s="125"/>
      <c r="V1619" s="111"/>
      <c r="W1619" s="112"/>
      <c r="X1619" s="113"/>
      <c r="Z1619" s="1"/>
      <c r="AA1619" s="1"/>
    </row>
    <row r="1620">
      <c r="D1620" s="4"/>
      <c r="H1620" s="1"/>
      <c r="I1620" s="1"/>
      <c r="Q1620" s="1"/>
      <c r="R1620" s="1"/>
      <c r="U1620" s="125"/>
      <c r="V1620" s="111"/>
      <c r="W1620" s="112"/>
      <c r="X1620" s="113"/>
      <c r="Z1620" s="1"/>
      <c r="AA1620" s="1"/>
    </row>
    <row r="1621">
      <c r="D1621" s="4"/>
      <c r="H1621" s="1"/>
      <c r="I1621" s="1"/>
      <c r="Q1621" s="1"/>
      <c r="R1621" s="1"/>
      <c r="U1621" s="125"/>
      <c r="V1621" s="111"/>
      <c r="W1621" s="112"/>
      <c r="X1621" s="113"/>
      <c r="Z1621" s="1"/>
      <c r="AA1621" s="1"/>
    </row>
    <row r="1622">
      <c r="D1622" s="4"/>
      <c r="H1622" s="1"/>
      <c r="I1622" s="1"/>
      <c r="Q1622" s="1"/>
      <c r="R1622" s="1"/>
      <c r="U1622" s="125"/>
      <c r="V1622" s="111"/>
      <c r="W1622" s="112"/>
      <c r="X1622" s="113"/>
      <c r="Z1622" s="1"/>
      <c r="AA1622" s="1"/>
    </row>
    <row r="1623">
      <c r="D1623" s="4"/>
      <c r="H1623" s="1"/>
      <c r="I1623" s="1"/>
      <c r="Q1623" s="1"/>
      <c r="R1623" s="1"/>
      <c r="U1623" s="125"/>
      <c r="V1623" s="111"/>
      <c r="W1623" s="112"/>
      <c r="X1623" s="113"/>
      <c r="Z1623" s="1"/>
      <c r="AA1623" s="1"/>
    </row>
    <row r="1624">
      <c r="D1624" s="4"/>
      <c r="H1624" s="1"/>
      <c r="I1624" s="1"/>
      <c r="Q1624" s="1"/>
      <c r="R1624" s="1"/>
      <c r="U1624" s="125"/>
      <c r="V1624" s="111"/>
      <c r="W1624" s="112"/>
      <c r="X1624" s="113"/>
      <c r="Z1624" s="1"/>
      <c r="AA1624" s="1"/>
    </row>
    <row r="1625">
      <c r="D1625" s="4"/>
      <c r="H1625" s="1"/>
      <c r="I1625" s="1"/>
      <c r="Q1625" s="1"/>
      <c r="R1625" s="1"/>
      <c r="U1625" s="125"/>
      <c r="V1625" s="111"/>
      <c r="W1625" s="112"/>
      <c r="X1625" s="113"/>
      <c r="Z1625" s="1"/>
      <c r="AA1625" s="1"/>
    </row>
    <row r="1626">
      <c r="D1626" s="4"/>
      <c r="H1626" s="1"/>
      <c r="I1626" s="1"/>
      <c r="Q1626" s="1"/>
      <c r="R1626" s="1"/>
      <c r="U1626" s="125"/>
      <c r="V1626" s="111"/>
      <c r="W1626" s="112"/>
      <c r="X1626" s="113"/>
      <c r="Z1626" s="1"/>
      <c r="AA1626" s="1"/>
    </row>
    <row r="1627">
      <c r="D1627" s="4"/>
      <c r="H1627" s="1"/>
      <c r="I1627" s="1"/>
      <c r="Q1627" s="1"/>
      <c r="R1627" s="1"/>
      <c r="U1627" s="125"/>
      <c r="V1627" s="111"/>
      <c r="W1627" s="112"/>
      <c r="X1627" s="113"/>
      <c r="Z1627" s="1"/>
      <c r="AA1627" s="1"/>
    </row>
    <row r="1628">
      <c r="D1628" s="4"/>
      <c r="H1628" s="1"/>
      <c r="I1628" s="1"/>
      <c r="Q1628" s="1"/>
      <c r="R1628" s="1"/>
      <c r="U1628" s="125"/>
      <c r="V1628" s="111"/>
      <c r="W1628" s="112"/>
      <c r="X1628" s="113"/>
      <c r="Z1628" s="1"/>
      <c r="AA1628" s="1"/>
    </row>
    <row r="1629">
      <c r="D1629" s="4"/>
      <c r="H1629" s="1"/>
      <c r="I1629" s="1"/>
      <c r="Q1629" s="1"/>
      <c r="R1629" s="1"/>
      <c r="U1629" s="125"/>
      <c r="V1629" s="111"/>
      <c r="W1629" s="112"/>
      <c r="X1629" s="113"/>
      <c r="Z1629" s="1"/>
      <c r="AA1629" s="1"/>
    </row>
    <row r="1630">
      <c r="D1630" s="4"/>
      <c r="H1630" s="1"/>
      <c r="I1630" s="1"/>
      <c r="Q1630" s="1"/>
      <c r="R1630" s="1"/>
      <c r="U1630" s="125"/>
      <c r="V1630" s="111"/>
      <c r="W1630" s="112"/>
      <c r="X1630" s="113"/>
      <c r="Z1630" s="1"/>
      <c r="AA1630" s="1"/>
    </row>
    <row r="1631">
      <c r="D1631" s="4"/>
      <c r="H1631" s="1"/>
      <c r="I1631" s="1"/>
      <c r="Q1631" s="1"/>
      <c r="R1631" s="1"/>
      <c r="U1631" s="125"/>
      <c r="V1631" s="111"/>
      <c r="W1631" s="112"/>
      <c r="X1631" s="113"/>
      <c r="Z1631" s="1"/>
      <c r="AA1631" s="1"/>
    </row>
    <row r="1632">
      <c r="D1632" s="4"/>
      <c r="H1632" s="1"/>
      <c r="I1632" s="1"/>
      <c r="Q1632" s="1"/>
      <c r="R1632" s="1"/>
      <c r="U1632" s="125"/>
      <c r="V1632" s="111"/>
      <c r="W1632" s="112"/>
      <c r="X1632" s="113"/>
      <c r="Z1632" s="1"/>
      <c r="AA1632" s="1"/>
    </row>
    <row r="1633">
      <c r="D1633" s="4"/>
      <c r="H1633" s="1"/>
      <c r="I1633" s="1"/>
      <c r="Q1633" s="1"/>
      <c r="R1633" s="1"/>
      <c r="U1633" s="125"/>
      <c r="V1633" s="111"/>
      <c r="W1633" s="112"/>
      <c r="X1633" s="113"/>
      <c r="Z1633" s="1"/>
      <c r="AA1633" s="1"/>
    </row>
    <row r="1634">
      <c r="D1634" s="4"/>
      <c r="H1634" s="1"/>
      <c r="I1634" s="1"/>
      <c r="Q1634" s="1"/>
      <c r="R1634" s="1"/>
      <c r="U1634" s="125"/>
      <c r="V1634" s="111"/>
      <c r="W1634" s="112"/>
      <c r="X1634" s="113"/>
      <c r="Z1634" s="1"/>
      <c r="AA1634" s="1"/>
    </row>
    <row r="1635">
      <c r="D1635" s="4"/>
      <c r="H1635" s="1"/>
      <c r="I1635" s="1"/>
      <c r="Q1635" s="1"/>
      <c r="R1635" s="1"/>
      <c r="U1635" s="125"/>
      <c r="V1635" s="111"/>
      <c r="W1635" s="112"/>
      <c r="X1635" s="113"/>
      <c r="Z1635" s="1"/>
      <c r="AA1635" s="1"/>
    </row>
    <row r="1636">
      <c r="D1636" s="4"/>
      <c r="H1636" s="1"/>
      <c r="I1636" s="1"/>
      <c r="Q1636" s="1"/>
      <c r="R1636" s="1"/>
      <c r="U1636" s="125"/>
      <c r="V1636" s="111"/>
      <c r="W1636" s="112"/>
      <c r="X1636" s="113"/>
      <c r="Z1636" s="1"/>
      <c r="AA1636" s="1"/>
    </row>
    <row r="1637">
      <c r="D1637" s="4"/>
      <c r="H1637" s="1"/>
      <c r="I1637" s="1"/>
      <c r="Q1637" s="1"/>
      <c r="R1637" s="1"/>
      <c r="U1637" s="125"/>
      <c r="V1637" s="111"/>
      <c r="W1637" s="112"/>
      <c r="X1637" s="113"/>
      <c r="Z1637" s="1"/>
      <c r="AA1637" s="1"/>
    </row>
    <row r="1638">
      <c r="D1638" s="4"/>
      <c r="H1638" s="1"/>
      <c r="I1638" s="1"/>
      <c r="Q1638" s="1"/>
      <c r="R1638" s="1"/>
      <c r="U1638" s="125"/>
      <c r="V1638" s="111"/>
      <c r="W1638" s="112"/>
      <c r="X1638" s="113"/>
      <c r="Z1638" s="1"/>
      <c r="AA1638" s="1"/>
    </row>
    <row r="1639">
      <c r="D1639" s="4"/>
      <c r="H1639" s="1"/>
      <c r="I1639" s="1"/>
      <c r="Q1639" s="1"/>
      <c r="R1639" s="1"/>
      <c r="U1639" s="125"/>
      <c r="V1639" s="111"/>
      <c r="W1639" s="112"/>
      <c r="X1639" s="113"/>
      <c r="Z1639" s="1"/>
      <c r="AA1639" s="1"/>
    </row>
    <row r="1640">
      <c r="D1640" s="4"/>
      <c r="H1640" s="1"/>
      <c r="I1640" s="1"/>
      <c r="Q1640" s="1"/>
      <c r="R1640" s="1"/>
      <c r="U1640" s="125"/>
      <c r="V1640" s="111"/>
      <c r="W1640" s="112"/>
      <c r="X1640" s="113"/>
      <c r="Z1640" s="1"/>
      <c r="AA1640" s="1"/>
    </row>
    <row r="1641">
      <c r="D1641" s="4"/>
      <c r="H1641" s="1"/>
      <c r="I1641" s="1"/>
      <c r="Q1641" s="1"/>
      <c r="R1641" s="1"/>
      <c r="U1641" s="125"/>
      <c r="V1641" s="111"/>
      <c r="W1641" s="112"/>
      <c r="X1641" s="113"/>
      <c r="Z1641" s="1"/>
      <c r="AA1641" s="1"/>
    </row>
    <row r="1642">
      <c r="D1642" s="4"/>
      <c r="H1642" s="1"/>
      <c r="I1642" s="1"/>
      <c r="Q1642" s="1"/>
      <c r="R1642" s="1"/>
      <c r="U1642" s="125"/>
      <c r="V1642" s="111"/>
      <c r="W1642" s="112"/>
      <c r="X1642" s="113"/>
      <c r="Z1642" s="1"/>
      <c r="AA1642" s="1"/>
    </row>
    <row r="1643">
      <c r="D1643" s="4"/>
      <c r="H1643" s="1"/>
      <c r="I1643" s="1"/>
      <c r="Q1643" s="1"/>
      <c r="R1643" s="1"/>
      <c r="U1643" s="125"/>
      <c r="V1643" s="111"/>
      <c r="W1643" s="112"/>
      <c r="X1643" s="113"/>
      <c r="Z1643" s="1"/>
      <c r="AA1643" s="1"/>
    </row>
    <row r="1644">
      <c r="D1644" s="4"/>
      <c r="H1644" s="1"/>
      <c r="I1644" s="1"/>
      <c r="Q1644" s="1"/>
      <c r="R1644" s="1"/>
      <c r="U1644" s="125"/>
      <c r="V1644" s="111"/>
      <c r="W1644" s="112"/>
      <c r="X1644" s="113"/>
      <c r="Z1644" s="1"/>
      <c r="AA1644" s="1"/>
    </row>
    <row r="1645">
      <c r="D1645" s="4"/>
      <c r="H1645" s="1"/>
      <c r="I1645" s="1"/>
      <c r="Q1645" s="1"/>
      <c r="R1645" s="1"/>
      <c r="U1645" s="125"/>
      <c r="V1645" s="111"/>
      <c r="W1645" s="112"/>
      <c r="X1645" s="113"/>
      <c r="Z1645" s="1"/>
      <c r="AA1645" s="1"/>
    </row>
    <row r="1646">
      <c r="D1646" s="4"/>
      <c r="H1646" s="1"/>
      <c r="I1646" s="1"/>
      <c r="Q1646" s="1"/>
      <c r="R1646" s="1"/>
      <c r="U1646" s="125"/>
      <c r="V1646" s="111"/>
      <c r="W1646" s="112"/>
      <c r="X1646" s="113"/>
      <c r="Z1646" s="1"/>
      <c r="AA1646" s="1"/>
    </row>
    <row r="1647">
      <c r="D1647" s="4"/>
      <c r="H1647" s="1"/>
      <c r="I1647" s="1"/>
      <c r="Q1647" s="1"/>
      <c r="R1647" s="1"/>
      <c r="U1647" s="125"/>
      <c r="V1647" s="111"/>
      <c r="W1647" s="112"/>
      <c r="X1647" s="113"/>
      <c r="Z1647" s="1"/>
      <c r="AA1647" s="1"/>
    </row>
    <row r="1648">
      <c r="D1648" s="4"/>
      <c r="H1648" s="1"/>
      <c r="I1648" s="1"/>
      <c r="Q1648" s="1"/>
      <c r="R1648" s="1"/>
      <c r="U1648" s="125"/>
      <c r="V1648" s="111"/>
      <c r="W1648" s="112"/>
      <c r="X1648" s="113"/>
      <c r="Z1648" s="1"/>
      <c r="AA1648" s="1"/>
    </row>
    <row r="1649">
      <c r="D1649" s="4"/>
      <c r="H1649" s="1"/>
      <c r="I1649" s="1"/>
      <c r="Q1649" s="1"/>
      <c r="R1649" s="1"/>
      <c r="U1649" s="125"/>
      <c r="V1649" s="111"/>
      <c r="W1649" s="112"/>
      <c r="X1649" s="113"/>
      <c r="Z1649" s="1"/>
      <c r="AA1649" s="1"/>
    </row>
    <row r="1650">
      <c r="D1650" s="4"/>
      <c r="H1650" s="1"/>
      <c r="I1650" s="1"/>
      <c r="Q1650" s="1"/>
      <c r="R1650" s="1"/>
      <c r="U1650" s="125"/>
      <c r="V1650" s="111"/>
      <c r="W1650" s="112"/>
      <c r="X1650" s="113"/>
      <c r="Z1650" s="1"/>
      <c r="AA1650" s="1"/>
    </row>
    <row r="1651">
      <c r="D1651" s="4"/>
      <c r="H1651" s="1"/>
      <c r="I1651" s="1"/>
      <c r="Q1651" s="1"/>
      <c r="R1651" s="1"/>
      <c r="U1651" s="125"/>
      <c r="V1651" s="111"/>
      <c r="W1651" s="112"/>
      <c r="X1651" s="113"/>
      <c r="Z1651" s="1"/>
      <c r="AA1651" s="1"/>
    </row>
    <row r="1652">
      <c r="D1652" s="4"/>
      <c r="H1652" s="1"/>
      <c r="I1652" s="1"/>
      <c r="Q1652" s="1"/>
      <c r="R1652" s="1"/>
      <c r="U1652" s="125"/>
      <c r="V1652" s="111"/>
      <c r="W1652" s="112"/>
      <c r="X1652" s="113"/>
      <c r="Z1652" s="1"/>
      <c r="AA1652" s="1"/>
    </row>
    <row r="1653">
      <c r="D1653" s="4"/>
      <c r="H1653" s="1"/>
      <c r="I1653" s="1"/>
      <c r="Q1653" s="1"/>
      <c r="R1653" s="1"/>
      <c r="U1653" s="125"/>
      <c r="V1653" s="111"/>
      <c r="W1653" s="112"/>
      <c r="X1653" s="113"/>
      <c r="Z1653" s="1"/>
      <c r="AA1653" s="1"/>
    </row>
    <row r="1654">
      <c r="D1654" s="4"/>
      <c r="H1654" s="1"/>
      <c r="I1654" s="1"/>
      <c r="Q1654" s="1"/>
      <c r="R1654" s="1"/>
      <c r="U1654" s="125"/>
      <c r="V1654" s="111"/>
      <c r="W1654" s="112"/>
      <c r="X1654" s="113"/>
      <c r="Z1654" s="1"/>
      <c r="AA1654" s="1"/>
    </row>
    <row r="1655">
      <c r="D1655" s="4"/>
      <c r="H1655" s="1"/>
      <c r="I1655" s="1"/>
      <c r="Q1655" s="1"/>
      <c r="R1655" s="1"/>
      <c r="U1655" s="125"/>
      <c r="V1655" s="111"/>
      <c r="W1655" s="112"/>
      <c r="X1655" s="113"/>
      <c r="Z1655" s="1"/>
      <c r="AA1655" s="1"/>
    </row>
    <row r="1656">
      <c r="D1656" s="4"/>
      <c r="H1656" s="1"/>
      <c r="I1656" s="1"/>
      <c r="Q1656" s="1"/>
      <c r="R1656" s="1"/>
      <c r="U1656" s="125"/>
      <c r="V1656" s="111"/>
      <c r="W1656" s="112"/>
      <c r="X1656" s="113"/>
      <c r="Z1656" s="1"/>
      <c r="AA1656" s="1"/>
    </row>
    <row r="1657">
      <c r="D1657" s="4"/>
      <c r="H1657" s="1"/>
      <c r="I1657" s="1"/>
      <c r="Q1657" s="1"/>
      <c r="R1657" s="1"/>
      <c r="U1657" s="125"/>
      <c r="V1657" s="111"/>
      <c r="W1657" s="112"/>
      <c r="X1657" s="113"/>
      <c r="Z1657" s="1"/>
      <c r="AA1657" s="1"/>
    </row>
    <row r="1658">
      <c r="D1658" s="4"/>
      <c r="H1658" s="1"/>
      <c r="I1658" s="1"/>
      <c r="Q1658" s="1"/>
      <c r="R1658" s="1"/>
      <c r="U1658" s="125"/>
      <c r="V1658" s="111"/>
      <c r="W1658" s="112"/>
      <c r="X1658" s="113"/>
      <c r="Z1658" s="1"/>
      <c r="AA1658" s="1"/>
    </row>
    <row r="1659">
      <c r="D1659" s="4"/>
      <c r="H1659" s="1"/>
      <c r="I1659" s="1"/>
      <c r="Q1659" s="1"/>
      <c r="R1659" s="1"/>
      <c r="U1659" s="125"/>
      <c r="V1659" s="111"/>
      <c r="W1659" s="112"/>
      <c r="X1659" s="113"/>
      <c r="Z1659" s="1"/>
      <c r="AA1659" s="1"/>
    </row>
    <row r="1660">
      <c r="D1660" s="4"/>
      <c r="H1660" s="1"/>
      <c r="I1660" s="1"/>
      <c r="Q1660" s="1"/>
      <c r="R1660" s="1"/>
      <c r="U1660" s="125"/>
      <c r="V1660" s="111"/>
      <c r="W1660" s="112"/>
      <c r="X1660" s="113"/>
      <c r="Z1660" s="1"/>
      <c r="AA1660" s="1"/>
    </row>
    <row r="1661">
      <c r="D1661" s="4"/>
      <c r="H1661" s="1"/>
      <c r="I1661" s="1"/>
      <c r="Q1661" s="1"/>
      <c r="R1661" s="1"/>
      <c r="U1661" s="125"/>
      <c r="V1661" s="111"/>
      <c r="W1661" s="112"/>
      <c r="X1661" s="113"/>
      <c r="Z1661" s="1"/>
      <c r="AA1661" s="1"/>
    </row>
    <row r="1662">
      <c r="D1662" s="4"/>
      <c r="H1662" s="1"/>
      <c r="I1662" s="1"/>
      <c r="Q1662" s="1"/>
      <c r="R1662" s="1"/>
      <c r="U1662" s="125"/>
      <c r="V1662" s="111"/>
      <c r="W1662" s="112"/>
      <c r="X1662" s="113"/>
      <c r="Z1662" s="1"/>
      <c r="AA1662" s="1"/>
    </row>
    <row r="1663">
      <c r="D1663" s="4"/>
      <c r="H1663" s="1"/>
      <c r="I1663" s="1"/>
      <c r="Q1663" s="1"/>
      <c r="R1663" s="1"/>
      <c r="U1663" s="125"/>
      <c r="V1663" s="111"/>
      <c r="W1663" s="112"/>
      <c r="X1663" s="113"/>
      <c r="Z1663" s="1"/>
      <c r="AA1663" s="1"/>
    </row>
    <row r="1664">
      <c r="D1664" s="4"/>
      <c r="H1664" s="1"/>
      <c r="I1664" s="1"/>
      <c r="Q1664" s="1"/>
      <c r="R1664" s="1"/>
      <c r="U1664" s="125"/>
      <c r="V1664" s="111"/>
      <c r="W1664" s="112"/>
      <c r="X1664" s="113"/>
      <c r="Z1664" s="1"/>
      <c r="AA1664" s="1"/>
    </row>
    <row r="1665">
      <c r="D1665" s="4"/>
      <c r="H1665" s="1"/>
      <c r="I1665" s="1"/>
      <c r="Q1665" s="1"/>
      <c r="R1665" s="1"/>
      <c r="U1665" s="125"/>
      <c r="V1665" s="111"/>
      <c r="W1665" s="112"/>
      <c r="X1665" s="113"/>
      <c r="Z1665" s="1"/>
      <c r="AA1665" s="1"/>
    </row>
    <row r="1666">
      <c r="D1666" s="4"/>
      <c r="H1666" s="1"/>
      <c r="I1666" s="1"/>
      <c r="Q1666" s="1"/>
      <c r="R1666" s="1"/>
      <c r="U1666" s="125"/>
      <c r="V1666" s="111"/>
      <c r="W1666" s="112"/>
      <c r="X1666" s="113"/>
      <c r="Z1666" s="1"/>
      <c r="AA1666" s="1"/>
    </row>
    <row r="1667">
      <c r="D1667" s="4"/>
      <c r="H1667" s="1"/>
      <c r="I1667" s="1"/>
      <c r="Q1667" s="1"/>
      <c r="R1667" s="1"/>
      <c r="U1667" s="125"/>
      <c r="V1667" s="111"/>
      <c r="W1667" s="112"/>
      <c r="X1667" s="113"/>
      <c r="Z1667" s="1"/>
      <c r="AA1667" s="1"/>
    </row>
    <row r="1668">
      <c r="D1668" s="4"/>
      <c r="H1668" s="1"/>
      <c r="I1668" s="1"/>
      <c r="Q1668" s="1"/>
      <c r="R1668" s="1"/>
      <c r="U1668" s="125"/>
      <c r="V1668" s="111"/>
      <c r="W1668" s="112"/>
      <c r="X1668" s="113"/>
      <c r="Z1668" s="1"/>
      <c r="AA1668" s="1"/>
    </row>
    <row r="1669">
      <c r="D1669" s="4"/>
      <c r="H1669" s="1"/>
      <c r="I1669" s="1"/>
      <c r="Q1669" s="1"/>
      <c r="R1669" s="1"/>
      <c r="U1669" s="125"/>
      <c r="V1669" s="111"/>
      <c r="W1669" s="112"/>
      <c r="X1669" s="113"/>
      <c r="Z1669" s="1"/>
      <c r="AA1669" s="1"/>
    </row>
    <row r="1670">
      <c r="D1670" s="4"/>
      <c r="H1670" s="1"/>
      <c r="I1670" s="1"/>
      <c r="Q1670" s="1"/>
      <c r="R1670" s="1"/>
      <c r="U1670" s="125"/>
      <c r="V1670" s="111"/>
      <c r="W1670" s="112"/>
      <c r="X1670" s="113"/>
      <c r="Z1670" s="1"/>
      <c r="AA1670" s="1"/>
    </row>
    <row r="1671">
      <c r="D1671" s="4"/>
      <c r="H1671" s="1"/>
      <c r="I1671" s="1"/>
      <c r="Q1671" s="1"/>
      <c r="R1671" s="1"/>
      <c r="U1671" s="125"/>
      <c r="V1671" s="111"/>
      <c r="W1671" s="112"/>
      <c r="X1671" s="113"/>
      <c r="Z1671" s="1"/>
      <c r="AA1671" s="1"/>
    </row>
    <row r="1672">
      <c r="D1672" s="4"/>
      <c r="H1672" s="1"/>
      <c r="I1672" s="1"/>
      <c r="Q1672" s="1"/>
      <c r="R1672" s="1"/>
      <c r="U1672" s="125"/>
      <c r="V1672" s="111"/>
      <c r="W1672" s="112"/>
      <c r="X1672" s="113"/>
      <c r="Z1672" s="1"/>
      <c r="AA1672" s="1"/>
    </row>
    <row r="1673">
      <c r="D1673" s="4"/>
      <c r="H1673" s="1"/>
      <c r="I1673" s="1"/>
      <c r="Q1673" s="1"/>
      <c r="R1673" s="1"/>
      <c r="U1673" s="125"/>
      <c r="V1673" s="111"/>
      <c r="W1673" s="112"/>
      <c r="X1673" s="113"/>
      <c r="Z1673" s="1"/>
      <c r="AA1673" s="1"/>
    </row>
    <row r="1674">
      <c r="D1674" s="4"/>
      <c r="H1674" s="1"/>
      <c r="I1674" s="1"/>
      <c r="Q1674" s="1"/>
      <c r="R1674" s="1"/>
      <c r="U1674" s="125"/>
      <c r="V1674" s="111"/>
      <c r="W1674" s="112"/>
      <c r="X1674" s="113"/>
      <c r="Z1674" s="1"/>
      <c r="AA1674" s="1"/>
    </row>
    <row r="1675">
      <c r="D1675" s="4"/>
      <c r="H1675" s="1"/>
      <c r="I1675" s="1"/>
      <c r="Q1675" s="1"/>
      <c r="R1675" s="1"/>
      <c r="U1675" s="125"/>
      <c r="V1675" s="111"/>
      <c r="W1675" s="112"/>
      <c r="X1675" s="113"/>
      <c r="Z1675" s="1"/>
      <c r="AA1675" s="1"/>
    </row>
    <row r="1676">
      <c r="D1676" s="4"/>
      <c r="H1676" s="1"/>
      <c r="I1676" s="1"/>
      <c r="Q1676" s="1"/>
      <c r="R1676" s="1"/>
      <c r="U1676" s="125"/>
      <c r="V1676" s="111"/>
      <c r="W1676" s="112"/>
      <c r="X1676" s="113"/>
      <c r="Z1676" s="1"/>
      <c r="AA1676" s="1"/>
    </row>
    <row r="1677">
      <c r="D1677" s="4"/>
      <c r="H1677" s="1"/>
      <c r="I1677" s="1"/>
      <c r="Q1677" s="1"/>
      <c r="R1677" s="1"/>
      <c r="U1677" s="125"/>
      <c r="V1677" s="111"/>
      <c r="W1677" s="112"/>
      <c r="X1677" s="113"/>
      <c r="Z1677" s="1"/>
      <c r="AA1677" s="1"/>
    </row>
    <row r="1678">
      <c r="D1678" s="4"/>
      <c r="H1678" s="1"/>
      <c r="I1678" s="1"/>
      <c r="Q1678" s="1"/>
      <c r="R1678" s="1"/>
      <c r="U1678" s="125"/>
      <c r="V1678" s="111"/>
      <c r="W1678" s="112"/>
      <c r="X1678" s="113"/>
      <c r="Z1678" s="1"/>
      <c r="AA1678" s="1"/>
    </row>
    <row r="1679">
      <c r="D1679" s="4"/>
      <c r="H1679" s="1"/>
      <c r="I1679" s="1"/>
      <c r="Q1679" s="1"/>
      <c r="R1679" s="1"/>
      <c r="U1679" s="125"/>
      <c r="V1679" s="111"/>
      <c r="W1679" s="112"/>
      <c r="X1679" s="113"/>
      <c r="Z1679" s="1"/>
      <c r="AA1679" s="1"/>
    </row>
    <row r="1680">
      <c r="D1680" s="4"/>
      <c r="H1680" s="1"/>
      <c r="I1680" s="1"/>
      <c r="Q1680" s="1"/>
      <c r="R1680" s="1"/>
      <c r="U1680" s="125"/>
      <c r="V1680" s="111"/>
      <c r="W1680" s="112"/>
      <c r="X1680" s="113"/>
      <c r="Z1680" s="1"/>
      <c r="AA1680" s="1"/>
    </row>
    <row r="1681">
      <c r="D1681" s="4"/>
      <c r="H1681" s="1"/>
      <c r="I1681" s="1"/>
      <c r="Q1681" s="1"/>
      <c r="R1681" s="1"/>
      <c r="U1681" s="125"/>
      <c r="V1681" s="111"/>
      <c r="W1681" s="112"/>
      <c r="X1681" s="113"/>
      <c r="Z1681" s="1"/>
      <c r="AA1681" s="1"/>
    </row>
    <row r="1682">
      <c r="D1682" s="4"/>
      <c r="H1682" s="1"/>
      <c r="I1682" s="1"/>
      <c r="Q1682" s="1"/>
      <c r="R1682" s="1"/>
      <c r="U1682" s="125"/>
      <c r="V1682" s="111"/>
      <c r="W1682" s="112"/>
      <c r="X1682" s="113"/>
      <c r="Z1682" s="1"/>
      <c r="AA1682" s="1"/>
    </row>
    <row r="1683">
      <c r="D1683" s="4"/>
      <c r="H1683" s="1"/>
      <c r="I1683" s="1"/>
      <c r="Q1683" s="1"/>
      <c r="R1683" s="1"/>
      <c r="U1683" s="125"/>
      <c r="V1683" s="111"/>
      <c r="W1683" s="112"/>
      <c r="X1683" s="113"/>
      <c r="Z1683" s="1"/>
      <c r="AA1683" s="1"/>
    </row>
    <row r="1684">
      <c r="D1684" s="4"/>
      <c r="H1684" s="1"/>
      <c r="I1684" s="1"/>
      <c r="Q1684" s="1"/>
      <c r="R1684" s="1"/>
      <c r="U1684" s="125"/>
      <c r="V1684" s="111"/>
      <c r="W1684" s="112"/>
      <c r="X1684" s="113"/>
      <c r="Z1684" s="1"/>
      <c r="AA1684" s="1"/>
    </row>
    <row r="1685">
      <c r="D1685" s="4"/>
      <c r="H1685" s="1"/>
      <c r="I1685" s="1"/>
      <c r="Q1685" s="1"/>
      <c r="R1685" s="1"/>
      <c r="U1685" s="125"/>
      <c r="V1685" s="111"/>
      <c r="W1685" s="112"/>
      <c r="X1685" s="113"/>
      <c r="Z1685" s="1"/>
      <c r="AA1685" s="1"/>
    </row>
    <row r="1686">
      <c r="D1686" s="4"/>
      <c r="H1686" s="1"/>
      <c r="I1686" s="1"/>
      <c r="Q1686" s="1"/>
      <c r="R1686" s="1"/>
      <c r="U1686" s="125"/>
      <c r="V1686" s="111"/>
      <c r="W1686" s="112"/>
      <c r="X1686" s="113"/>
      <c r="Z1686" s="1"/>
      <c r="AA1686" s="1"/>
    </row>
    <row r="1687">
      <c r="D1687" s="4"/>
      <c r="H1687" s="1"/>
      <c r="I1687" s="1"/>
      <c r="Q1687" s="1"/>
      <c r="R1687" s="1"/>
      <c r="U1687" s="125"/>
      <c r="V1687" s="111"/>
      <c r="W1687" s="112"/>
      <c r="X1687" s="113"/>
      <c r="Z1687" s="1"/>
      <c r="AA1687" s="1"/>
    </row>
    <row r="1688">
      <c r="D1688" s="4"/>
      <c r="H1688" s="1"/>
      <c r="I1688" s="1"/>
      <c r="Q1688" s="1"/>
      <c r="R1688" s="1"/>
      <c r="U1688" s="125"/>
      <c r="V1688" s="111"/>
      <c r="W1688" s="112"/>
      <c r="X1688" s="113"/>
      <c r="Z1688" s="1"/>
      <c r="AA1688" s="1"/>
    </row>
    <row r="1689">
      <c r="D1689" s="4"/>
      <c r="H1689" s="1"/>
      <c r="I1689" s="1"/>
      <c r="Q1689" s="1"/>
      <c r="R1689" s="1"/>
      <c r="U1689" s="125"/>
      <c r="V1689" s="111"/>
      <c r="W1689" s="112"/>
      <c r="X1689" s="113"/>
      <c r="Z1689" s="1"/>
      <c r="AA1689" s="1"/>
    </row>
    <row r="1690">
      <c r="D1690" s="4"/>
      <c r="H1690" s="1"/>
      <c r="I1690" s="1"/>
      <c r="Q1690" s="1"/>
      <c r="R1690" s="1"/>
      <c r="U1690" s="125"/>
      <c r="V1690" s="111"/>
      <c r="W1690" s="112"/>
      <c r="X1690" s="113"/>
      <c r="Z1690" s="1"/>
      <c r="AA1690" s="1"/>
    </row>
    <row r="1691">
      <c r="D1691" s="4"/>
      <c r="H1691" s="1"/>
      <c r="I1691" s="1"/>
      <c r="Q1691" s="1"/>
      <c r="R1691" s="1"/>
      <c r="U1691" s="125"/>
      <c r="V1691" s="111"/>
      <c r="W1691" s="112"/>
      <c r="X1691" s="113"/>
      <c r="Z1691" s="1"/>
      <c r="AA1691" s="1"/>
    </row>
    <row r="1692">
      <c r="D1692" s="4"/>
      <c r="H1692" s="1"/>
      <c r="I1692" s="1"/>
      <c r="Q1692" s="1"/>
      <c r="R1692" s="1"/>
      <c r="U1692" s="125"/>
      <c r="V1692" s="111"/>
      <c r="W1692" s="112"/>
      <c r="X1692" s="113"/>
      <c r="Z1692" s="1"/>
      <c r="AA1692" s="1"/>
    </row>
    <row r="1693">
      <c r="D1693" s="4"/>
      <c r="H1693" s="1"/>
      <c r="I1693" s="1"/>
      <c r="Q1693" s="1"/>
      <c r="R1693" s="1"/>
      <c r="U1693" s="125"/>
      <c r="V1693" s="111"/>
      <c r="W1693" s="112"/>
      <c r="X1693" s="113"/>
      <c r="Z1693" s="1"/>
      <c r="AA1693" s="1"/>
    </row>
    <row r="1694">
      <c r="D1694" s="4"/>
      <c r="H1694" s="1"/>
      <c r="I1694" s="1"/>
      <c r="Q1694" s="1"/>
      <c r="R1694" s="1"/>
      <c r="U1694" s="125"/>
      <c r="V1694" s="111"/>
      <c r="W1694" s="112"/>
      <c r="X1694" s="113"/>
      <c r="Z1694" s="1"/>
      <c r="AA1694" s="1"/>
    </row>
    <row r="1695">
      <c r="D1695" s="4"/>
      <c r="H1695" s="1"/>
      <c r="I1695" s="1"/>
      <c r="Q1695" s="1"/>
      <c r="R1695" s="1"/>
      <c r="U1695" s="125"/>
      <c r="V1695" s="111"/>
      <c r="W1695" s="112"/>
      <c r="X1695" s="113"/>
      <c r="Z1695" s="1"/>
      <c r="AA1695" s="1"/>
    </row>
    <row r="1696">
      <c r="D1696" s="4"/>
      <c r="H1696" s="1"/>
      <c r="I1696" s="1"/>
      <c r="Q1696" s="1"/>
      <c r="R1696" s="1"/>
      <c r="U1696" s="125"/>
      <c r="V1696" s="111"/>
      <c r="W1696" s="112"/>
      <c r="X1696" s="113"/>
      <c r="Z1696" s="1"/>
      <c r="AA1696" s="1"/>
    </row>
    <row r="1697">
      <c r="D1697" s="4"/>
      <c r="H1697" s="1"/>
      <c r="I1697" s="1"/>
      <c r="Q1697" s="1"/>
      <c r="R1697" s="1"/>
      <c r="U1697" s="125"/>
      <c r="V1697" s="111"/>
      <c r="W1697" s="112"/>
      <c r="X1697" s="113"/>
      <c r="Z1697" s="1"/>
      <c r="AA1697" s="1"/>
    </row>
    <row r="1698">
      <c r="D1698" s="4"/>
      <c r="H1698" s="1"/>
      <c r="I1698" s="1"/>
      <c r="Q1698" s="1"/>
      <c r="R1698" s="1"/>
      <c r="U1698" s="125"/>
      <c r="V1698" s="111"/>
      <c r="W1698" s="112"/>
      <c r="X1698" s="113"/>
      <c r="Z1698" s="1"/>
      <c r="AA1698" s="1"/>
    </row>
    <row r="1699">
      <c r="D1699" s="4"/>
      <c r="H1699" s="1"/>
      <c r="I1699" s="1"/>
      <c r="Q1699" s="1"/>
      <c r="R1699" s="1"/>
      <c r="U1699" s="125"/>
      <c r="V1699" s="111"/>
      <c r="W1699" s="112"/>
      <c r="X1699" s="113"/>
      <c r="Z1699" s="1"/>
      <c r="AA1699" s="1"/>
    </row>
    <row r="1700">
      <c r="D1700" s="4"/>
      <c r="H1700" s="1"/>
      <c r="I1700" s="1"/>
      <c r="Q1700" s="1"/>
      <c r="R1700" s="1"/>
      <c r="U1700" s="125"/>
      <c r="V1700" s="111"/>
      <c r="W1700" s="112"/>
      <c r="X1700" s="113"/>
      <c r="Z1700" s="1"/>
      <c r="AA1700" s="1"/>
    </row>
    <row r="1701">
      <c r="D1701" s="4"/>
      <c r="H1701" s="1"/>
      <c r="I1701" s="1"/>
      <c r="Q1701" s="1"/>
      <c r="R1701" s="1"/>
      <c r="U1701" s="125"/>
      <c r="V1701" s="111"/>
      <c r="W1701" s="112"/>
      <c r="X1701" s="113"/>
      <c r="Z1701" s="1"/>
      <c r="AA1701" s="1"/>
    </row>
    <row r="1702">
      <c r="D1702" s="4"/>
      <c r="H1702" s="1"/>
      <c r="I1702" s="1"/>
      <c r="Q1702" s="1"/>
      <c r="R1702" s="1"/>
      <c r="U1702" s="125"/>
      <c r="V1702" s="111"/>
      <c r="W1702" s="112"/>
      <c r="X1702" s="113"/>
      <c r="Z1702" s="1"/>
      <c r="AA1702" s="1"/>
    </row>
    <row r="1703">
      <c r="D1703" s="4"/>
      <c r="H1703" s="1"/>
      <c r="I1703" s="1"/>
      <c r="Q1703" s="1"/>
      <c r="R1703" s="1"/>
      <c r="U1703" s="125"/>
      <c r="V1703" s="111"/>
      <c r="W1703" s="112"/>
      <c r="X1703" s="113"/>
      <c r="Z1703" s="1"/>
      <c r="AA1703" s="1"/>
    </row>
    <row r="1704">
      <c r="D1704" s="4"/>
      <c r="H1704" s="1"/>
      <c r="I1704" s="1"/>
      <c r="Q1704" s="1"/>
      <c r="R1704" s="1"/>
      <c r="U1704" s="125"/>
      <c r="V1704" s="111"/>
      <c r="W1704" s="112"/>
      <c r="X1704" s="113"/>
      <c r="Z1704" s="1"/>
      <c r="AA1704" s="1"/>
    </row>
    <row r="1705">
      <c r="D1705" s="4"/>
      <c r="H1705" s="1"/>
      <c r="I1705" s="1"/>
      <c r="Q1705" s="1"/>
      <c r="R1705" s="1"/>
      <c r="U1705" s="125"/>
      <c r="V1705" s="111"/>
      <c r="W1705" s="112"/>
      <c r="X1705" s="113"/>
      <c r="Z1705" s="1"/>
      <c r="AA1705" s="1"/>
    </row>
    <row r="1706">
      <c r="D1706" s="4"/>
      <c r="H1706" s="1"/>
      <c r="I1706" s="1"/>
      <c r="Q1706" s="1"/>
      <c r="R1706" s="1"/>
      <c r="U1706" s="125"/>
      <c r="V1706" s="111"/>
      <c r="W1706" s="112"/>
      <c r="X1706" s="113"/>
      <c r="Z1706" s="1"/>
      <c r="AA1706" s="1"/>
    </row>
    <row r="1707">
      <c r="D1707" s="4"/>
      <c r="H1707" s="1"/>
      <c r="I1707" s="1"/>
      <c r="Q1707" s="1"/>
      <c r="R1707" s="1"/>
      <c r="U1707" s="125"/>
      <c r="V1707" s="111"/>
      <c r="W1707" s="112"/>
      <c r="X1707" s="113"/>
      <c r="Z1707" s="1"/>
      <c r="AA1707" s="1"/>
    </row>
    <row r="1708">
      <c r="D1708" s="4"/>
      <c r="H1708" s="1"/>
      <c r="I1708" s="1"/>
      <c r="Q1708" s="1"/>
      <c r="R1708" s="1"/>
      <c r="U1708" s="125"/>
      <c r="V1708" s="111"/>
      <c r="W1708" s="112"/>
      <c r="X1708" s="113"/>
      <c r="Z1708" s="1"/>
      <c r="AA1708" s="1"/>
    </row>
    <row r="1709">
      <c r="D1709" s="4"/>
      <c r="H1709" s="1"/>
      <c r="I1709" s="1"/>
      <c r="Q1709" s="1"/>
      <c r="R1709" s="1"/>
      <c r="U1709" s="125"/>
      <c r="V1709" s="111"/>
      <c r="W1709" s="112"/>
      <c r="X1709" s="113"/>
      <c r="Z1709" s="1"/>
      <c r="AA1709" s="1"/>
    </row>
    <row r="1710">
      <c r="D1710" s="4"/>
      <c r="H1710" s="1"/>
      <c r="I1710" s="1"/>
      <c r="Q1710" s="1"/>
      <c r="R1710" s="1"/>
      <c r="U1710" s="125"/>
      <c r="V1710" s="111"/>
      <c r="W1710" s="112"/>
      <c r="X1710" s="113"/>
      <c r="Z1710" s="1"/>
      <c r="AA1710" s="1"/>
    </row>
    <row r="1711">
      <c r="D1711" s="4"/>
      <c r="H1711" s="1"/>
      <c r="I1711" s="1"/>
      <c r="Q1711" s="1"/>
      <c r="R1711" s="1"/>
      <c r="U1711" s="125"/>
      <c r="V1711" s="111"/>
      <c r="W1711" s="112"/>
      <c r="X1711" s="113"/>
      <c r="Z1711" s="1"/>
      <c r="AA1711" s="1"/>
    </row>
    <row r="1712">
      <c r="D1712" s="4"/>
      <c r="H1712" s="1"/>
      <c r="I1712" s="1"/>
      <c r="Q1712" s="1"/>
      <c r="R1712" s="1"/>
      <c r="U1712" s="125"/>
      <c r="V1712" s="111"/>
      <c r="W1712" s="112"/>
      <c r="X1712" s="113"/>
      <c r="Z1712" s="1"/>
      <c r="AA1712" s="1"/>
    </row>
    <row r="1713">
      <c r="D1713" s="4"/>
      <c r="H1713" s="1"/>
      <c r="I1713" s="1"/>
      <c r="Q1713" s="1"/>
      <c r="R1713" s="1"/>
      <c r="U1713" s="125"/>
      <c r="V1713" s="111"/>
      <c r="W1713" s="112"/>
      <c r="X1713" s="113"/>
      <c r="Z1713" s="1"/>
      <c r="AA1713" s="1"/>
    </row>
    <row r="1714">
      <c r="D1714" s="4"/>
      <c r="H1714" s="1"/>
      <c r="I1714" s="1"/>
      <c r="Q1714" s="1"/>
      <c r="R1714" s="1"/>
      <c r="U1714" s="125"/>
      <c r="V1714" s="111"/>
      <c r="W1714" s="112"/>
      <c r="X1714" s="113"/>
      <c r="Z1714" s="1"/>
      <c r="AA1714" s="1"/>
    </row>
    <row r="1715">
      <c r="D1715" s="4"/>
      <c r="H1715" s="1"/>
      <c r="I1715" s="1"/>
      <c r="Q1715" s="1"/>
      <c r="R1715" s="1"/>
      <c r="U1715" s="125"/>
      <c r="V1715" s="111"/>
      <c r="W1715" s="112"/>
      <c r="X1715" s="113"/>
      <c r="Z1715" s="1"/>
      <c r="AA1715" s="1"/>
    </row>
    <row r="1716">
      <c r="D1716" s="4"/>
      <c r="H1716" s="1"/>
      <c r="I1716" s="1"/>
      <c r="Q1716" s="1"/>
      <c r="R1716" s="1"/>
      <c r="U1716" s="125"/>
      <c r="V1716" s="111"/>
      <c r="W1716" s="112"/>
      <c r="X1716" s="113"/>
      <c r="Z1716" s="1"/>
      <c r="AA1716" s="1"/>
    </row>
    <row r="1717">
      <c r="D1717" s="4"/>
      <c r="H1717" s="1"/>
      <c r="I1717" s="1"/>
      <c r="Q1717" s="1"/>
      <c r="R1717" s="1"/>
      <c r="U1717" s="125"/>
      <c r="V1717" s="111"/>
      <c r="W1717" s="112"/>
      <c r="X1717" s="113"/>
      <c r="Z1717" s="1"/>
      <c r="AA1717" s="1"/>
    </row>
    <row r="1718">
      <c r="D1718" s="4"/>
      <c r="H1718" s="1"/>
      <c r="I1718" s="1"/>
      <c r="Q1718" s="1"/>
      <c r="R1718" s="1"/>
      <c r="U1718" s="125"/>
      <c r="V1718" s="111"/>
      <c r="W1718" s="112"/>
      <c r="X1718" s="113"/>
      <c r="Z1718" s="1"/>
      <c r="AA1718" s="1"/>
    </row>
    <row r="1719">
      <c r="D1719" s="4"/>
      <c r="H1719" s="1"/>
      <c r="I1719" s="1"/>
      <c r="Q1719" s="1"/>
      <c r="R1719" s="1"/>
      <c r="U1719" s="125"/>
      <c r="V1719" s="111"/>
      <c r="W1719" s="112"/>
      <c r="X1719" s="113"/>
      <c r="Z1719" s="1"/>
      <c r="AA1719" s="1"/>
    </row>
    <row r="1720">
      <c r="D1720" s="4"/>
      <c r="H1720" s="1"/>
      <c r="I1720" s="1"/>
      <c r="Q1720" s="1"/>
      <c r="R1720" s="1"/>
      <c r="U1720" s="125"/>
      <c r="V1720" s="111"/>
      <c r="W1720" s="112"/>
      <c r="X1720" s="113"/>
      <c r="Z1720" s="1"/>
      <c r="AA1720" s="1"/>
    </row>
    <row r="1721">
      <c r="D1721" s="4"/>
      <c r="H1721" s="1"/>
      <c r="I1721" s="1"/>
      <c r="Q1721" s="1"/>
      <c r="R1721" s="1"/>
      <c r="U1721" s="125"/>
      <c r="V1721" s="111"/>
      <c r="W1721" s="112"/>
      <c r="X1721" s="113"/>
      <c r="Z1721" s="1"/>
      <c r="AA1721" s="1"/>
    </row>
    <row r="1722">
      <c r="D1722" s="4"/>
      <c r="H1722" s="1"/>
      <c r="I1722" s="1"/>
      <c r="Q1722" s="1"/>
      <c r="R1722" s="1"/>
      <c r="U1722" s="125"/>
      <c r="V1722" s="111"/>
      <c r="W1722" s="112"/>
      <c r="X1722" s="113"/>
      <c r="Z1722" s="1"/>
      <c r="AA1722" s="1"/>
    </row>
    <row r="1723">
      <c r="D1723" s="4"/>
      <c r="H1723" s="1"/>
      <c r="I1723" s="1"/>
      <c r="Q1723" s="1"/>
      <c r="R1723" s="1"/>
      <c r="U1723" s="125"/>
      <c r="V1723" s="111"/>
      <c r="W1723" s="112"/>
      <c r="X1723" s="113"/>
      <c r="Z1723" s="1"/>
      <c r="AA1723" s="1"/>
    </row>
    <row r="1724">
      <c r="D1724" s="4"/>
      <c r="H1724" s="1"/>
      <c r="I1724" s="1"/>
      <c r="Q1724" s="1"/>
      <c r="R1724" s="1"/>
      <c r="U1724" s="125"/>
      <c r="V1724" s="111"/>
      <c r="W1724" s="112"/>
      <c r="X1724" s="113"/>
      <c r="Z1724" s="1"/>
      <c r="AA1724" s="1"/>
    </row>
    <row r="1725">
      <c r="D1725" s="4"/>
      <c r="H1725" s="1"/>
      <c r="I1725" s="1"/>
      <c r="Q1725" s="1"/>
      <c r="R1725" s="1"/>
      <c r="U1725" s="125"/>
      <c r="V1725" s="111"/>
      <c r="W1725" s="112"/>
      <c r="X1725" s="113"/>
      <c r="Z1725" s="1"/>
      <c r="AA1725" s="1"/>
    </row>
    <row r="1726">
      <c r="D1726" s="4"/>
      <c r="H1726" s="1"/>
      <c r="I1726" s="1"/>
      <c r="Q1726" s="1"/>
      <c r="R1726" s="1"/>
      <c r="U1726" s="125"/>
      <c r="V1726" s="111"/>
      <c r="W1726" s="112"/>
      <c r="X1726" s="113"/>
      <c r="Z1726" s="1"/>
      <c r="AA1726" s="1"/>
    </row>
    <row r="1727">
      <c r="D1727" s="4"/>
      <c r="H1727" s="1"/>
      <c r="I1727" s="1"/>
      <c r="Q1727" s="1"/>
      <c r="R1727" s="1"/>
      <c r="U1727" s="125"/>
      <c r="V1727" s="111"/>
      <c r="W1727" s="112"/>
      <c r="X1727" s="113"/>
      <c r="Z1727" s="1"/>
      <c r="AA1727" s="1"/>
    </row>
    <row r="1728">
      <c r="D1728" s="4"/>
      <c r="H1728" s="1"/>
      <c r="I1728" s="1"/>
      <c r="Q1728" s="1"/>
      <c r="R1728" s="1"/>
      <c r="U1728" s="125"/>
      <c r="V1728" s="111"/>
      <c r="W1728" s="112"/>
      <c r="X1728" s="113"/>
      <c r="Z1728" s="1"/>
      <c r="AA1728" s="1"/>
    </row>
    <row r="1729">
      <c r="D1729" s="4"/>
      <c r="H1729" s="1"/>
      <c r="I1729" s="1"/>
      <c r="Q1729" s="1"/>
      <c r="R1729" s="1"/>
      <c r="U1729" s="125"/>
      <c r="V1729" s="111"/>
      <c r="W1729" s="112"/>
      <c r="X1729" s="113"/>
      <c r="Z1729" s="1"/>
      <c r="AA1729" s="1"/>
    </row>
    <row r="1730">
      <c r="D1730" s="4"/>
      <c r="H1730" s="1"/>
      <c r="I1730" s="1"/>
      <c r="Q1730" s="1"/>
      <c r="R1730" s="1"/>
      <c r="U1730" s="125"/>
      <c r="V1730" s="111"/>
      <c r="W1730" s="112"/>
      <c r="X1730" s="113"/>
      <c r="Z1730" s="1"/>
      <c r="AA1730" s="1"/>
    </row>
    <row r="1731">
      <c r="D1731" s="4"/>
      <c r="H1731" s="1"/>
      <c r="I1731" s="1"/>
      <c r="Q1731" s="1"/>
      <c r="R1731" s="1"/>
      <c r="U1731" s="125"/>
      <c r="V1731" s="111"/>
      <c r="W1731" s="112"/>
      <c r="X1731" s="113"/>
      <c r="Z1731" s="1"/>
      <c r="AA1731" s="1"/>
    </row>
    <row r="1732">
      <c r="D1732" s="4"/>
      <c r="H1732" s="1"/>
      <c r="I1732" s="1"/>
      <c r="Q1732" s="1"/>
      <c r="R1732" s="1"/>
      <c r="U1732" s="125"/>
      <c r="V1732" s="111"/>
      <c r="W1732" s="112"/>
      <c r="X1732" s="113"/>
      <c r="Z1732" s="1"/>
      <c r="AA1732" s="1"/>
    </row>
    <row r="1733">
      <c r="D1733" s="4"/>
      <c r="H1733" s="1"/>
      <c r="I1733" s="1"/>
      <c r="Q1733" s="1"/>
      <c r="R1733" s="1"/>
      <c r="U1733" s="125"/>
      <c r="V1733" s="111"/>
      <c r="W1733" s="112"/>
      <c r="X1733" s="113"/>
      <c r="Z1733" s="1"/>
      <c r="AA1733" s="1"/>
    </row>
    <row r="1734">
      <c r="D1734" s="4"/>
      <c r="H1734" s="1"/>
      <c r="I1734" s="1"/>
      <c r="Q1734" s="1"/>
      <c r="R1734" s="1"/>
      <c r="U1734" s="125"/>
      <c r="V1734" s="111"/>
      <c r="W1734" s="112"/>
      <c r="X1734" s="113"/>
      <c r="Z1734" s="1"/>
      <c r="AA1734" s="1"/>
    </row>
    <row r="1735">
      <c r="D1735" s="4"/>
      <c r="H1735" s="1"/>
      <c r="I1735" s="1"/>
      <c r="Q1735" s="1"/>
      <c r="R1735" s="1"/>
      <c r="U1735" s="125"/>
      <c r="V1735" s="111"/>
      <c r="W1735" s="112"/>
      <c r="X1735" s="113"/>
      <c r="Z1735" s="1"/>
      <c r="AA1735" s="1"/>
    </row>
    <row r="1736">
      <c r="D1736" s="4"/>
      <c r="H1736" s="1"/>
      <c r="I1736" s="1"/>
      <c r="Q1736" s="1"/>
      <c r="R1736" s="1"/>
      <c r="U1736" s="125"/>
      <c r="V1736" s="111"/>
      <c r="W1736" s="112"/>
      <c r="X1736" s="113"/>
      <c r="Z1736" s="1"/>
      <c r="AA1736" s="1"/>
    </row>
    <row r="1737">
      <c r="D1737" s="4"/>
      <c r="H1737" s="1"/>
      <c r="I1737" s="1"/>
      <c r="Q1737" s="1"/>
      <c r="R1737" s="1"/>
      <c r="U1737" s="125"/>
      <c r="V1737" s="111"/>
      <c r="W1737" s="112"/>
      <c r="X1737" s="113"/>
      <c r="Z1737" s="1"/>
      <c r="AA1737" s="1"/>
    </row>
    <row r="1738">
      <c r="D1738" s="4"/>
      <c r="H1738" s="1"/>
      <c r="I1738" s="1"/>
      <c r="Q1738" s="1"/>
      <c r="R1738" s="1"/>
      <c r="U1738" s="125"/>
      <c r="V1738" s="111"/>
      <c r="W1738" s="112"/>
      <c r="X1738" s="113"/>
      <c r="Z1738" s="1"/>
      <c r="AA1738" s="1"/>
    </row>
    <row r="1739">
      <c r="D1739" s="4"/>
      <c r="H1739" s="1"/>
      <c r="I1739" s="1"/>
      <c r="Q1739" s="1"/>
      <c r="R1739" s="1"/>
      <c r="U1739" s="125"/>
      <c r="V1739" s="111"/>
      <c r="W1739" s="112"/>
      <c r="X1739" s="113"/>
      <c r="Z1739" s="1"/>
      <c r="AA1739" s="1"/>
    </row>
    <row r="1740">
      <c r="D1740" s="4"/>
      <c r="H1740" s="1"/>
      <c r="I1740" s="1"/>
      <c r="Q1740" s="1"/>
      <c r="R1740" s="1"/>
      <c r="U1740" s="125"/>
      <c r="V1740" s="111"/>
      <c r="W1740" s="112"/>
      <c r="X1740" s="113"/>
      <c r="Z1740" s="1"/>
      <c r="AA1740" s="1"/>
    </row>
    <row r="1741">
      <c r="D1741" s="4"/>
      <c r="H1741" s="1"/>
      <c r="I1741" s="1"/>
      <c r="Q1741" s="1"/>
      <c r="R1741" s="1"/>
      <c r="U1741" s="125"/>
      <c r="V1741" s="111"/>
      <c r="W1741" s="112"/>
      <c r="X1741" s="113"/>
      <c r="Z1741" s="1"/>
      <c r="AA1741" s="1"/>
    </row>
    <row r="1742">
      <c r="D1742" s="4"/>
      <c r="H1742" s="1"/>
      <c r="I1742" s="1"/>
      <c r="Q1742" s="1"/>
      <c r="R1742" s="1"/>
      <c r="U1742" s="125"/>
      <c r="V1742" s="111"/>
      <c r="W1742" s="112"/>
      <c r="X1742" s="113"/>
      <c r="Z1742" s="1"/>
      <c r="AA1742" s="1"/>
    </row>
    <row r="1743">
      <c r="D1743" s="4"/>
      <c r="H1743" s="1"/>
      <c r="I1743" s="1"/>
      <c r="Q1743" s="1"/>
      <c r="R1743" s="1"/>
      <c r="U1743" s="125"/>
      <c r="V1743" s="111"/>
      <c r="W1743" s="112"/>
      <c r="X1743" s="113"/>
      <c r="Z1743" s="1"/>
      <c r="AA1743" s="1"/>
    </row>
    <row r="1744">
      <c r="D1744" s="4"/>
      <c r="H1744" s="1"/>
      <c r="I1744" s="1"/>
      <c r="Q1744" s="1"/>
      <c r="R1744" s="1"/>
      <c r="U1744" s="125"/>
      <c r="V1744" s="111"/>
      <c r="W1744" s="112"/>
      <c r="X1744" s="113"/>
      <c r="Z1744" s="1"/>
      <c r="AA1744" s="1"/>
    </row>
    <row r="1745">
      <c r="D1745" s="4"/>
      <c r="H1745" s="1"/>
      <c r="I1745" s="1"/>
      <c r="Q1745" s="1"/>
      <c r="R1745" s="1"/>
      <c r="U1745" s="125"/>
      <c r="V1745" s="111"/>
      <c r="W1745" s="112"/>
      <c r="X1745" s="113"/>
      <c r="Z1745" s="1"/>
      <c r="AA1745" s="1"/>
    </row>
    <row r="1746">
      <c r="D1746" s="4"/>
      <c r="H1746" s="1"/>
      <c r="I1746" s="1"/>
      <c r="Q1746" s="1"/>
      <c r="R1746" s="1"/>
      <c r="U1746" s="125"/>
      <c r="V1746" s="111"/>
      <c r="W1746" s="112"/>
      <c r="X1746" s="113"/>
      <c r="Z1746" s="1"/>
      <c r="AA1746" s="1"/>
    </row>
    <row r="1747">
      <c r="D1747" s="4"/>
      <c r="H1747" s="1"/>
      <c r="I1747" s="1"/>
      <c r="Q1747" s="1"/>
      <c r="R1747" s="1"/>
      <c r="U1747" s="125"/>
      <c r="V1747" s="111"/>
      <c r="W1747" s="112"/>
      <c r="X1747" s="113"/>
      <c r="Z1747" s="1"/>
      <c r="AA1747" s="1"/>
    </row>
    <row r="1748">
      <c r="D1748" s="4"/>
      <c r="H1748" s="1"/>
      <c r="I1748" s="1"/>
      <c r="Q1748" s="1"/>
      <c r="R1748" s="1"/>
      <c r="U1748" s="125"/>
      <c r="V1748" s="111"/>
      <c r="W1748" s="112"/>
      <c r="X1748" s="113"/>
      <c r="Z1748" s="1"/>
      <c r="AA1748" s="1"/>
    </row>
    <row r="1749">
      <c r="D1749" s="4"/>
      <c r="H1749" s="1"/>
      <c r="I1749" s="1"/>
      <c r="Q1749" s="1"/>
      <c r="R1749" s="1"/>
      <c r="U1749" s="125"/>
      <c r="V1749" s="111"/>
      <c r="W1749" s="112"/>
      <c r="X1749" s="113"/>
      <c r="Z1749" s="1"/>
      <c r="AA1749" s="1"/>
    </row>
    <row r="1750">
      <c r="D1750" s="4"/>
      <c r="H1750" s="1"/>
      <c r="I1750" s="1"/>
      <c r="Q1750" s="1"/>
      <c r="R1750" s="1"/>
      <c r="U1750" s="125"/>
      <c r="V1750" s="111"/>
      <c r="W1750" s="112"/>
      <c r="X1750" s="113"/>
      <c r="Z1750" s="1"/>
      <c r="AA1750" s="1"/>
    </row>
    <row r="1751">
      <c r="D1751" s="4"/>
      <c r="H1751" s="1"/>
      <c r="I1751" s="1"/>
      <c r="Q1751" s="1"/>
      <c r="R1751" s="1"/>
      <c r="U1751" s="125"/>
      <c r="V1751" s="111"/>
      <c r="W1751" s="112"/>
      <c r="X1751" s="113"/>
      <c r="Z1751" s="1"/>
      <c r="AA1751" s="1"/>
    </row>
    <row r="1752">
      <c r="D1752" s="4"/>
      <c r="H1752" s="1"/>
      <c r="I1752" s="1"/>
      <c r="Q1752" s="1"/>
      <c r="R1752" s="1"/>
      <c r="U1752" s="125"/>
      <c r="V1752" s="111"/>
      <c r="W1752" s="112"/>
      <c r="X1752" s="113"/>
      <c r="Z1752" s="1"/>
      <c r="AA1752" s="1"/>
    </row>
    <row r="1753">
      <c r="D1753" s="4"/>
      <c r="H1753" s="1"/>
      <c r="I1753" s="1"/>
      <c r="Q1753" s="1"/>
      <c r="R1753" s="1"/>
      <c r="U1753" s="125"/>
      <c r="V1753" s="111"/>
      <c r="W1753" s="112"/>
      <c r="X1753" s="113"/>
      <c r="Z1753" s="1"/>
      <c r="AA1753" s="1"/>
    </row>
    <row r="1754">
      <c r="D1754" s="4"/>
      <c r="H1754" s="1"/>
      <c r="I1754" s="1"/>
      <c r="Q1754" s="1"/>
      <c r="R1754" s="1"/>
      <c r="U1754" s="125"/>
      <c r="V1754" s="111"/>
      <c r="W1754" s="112"/>
      <c r="X1754" s="113"/>
      <c r="Z1754" s="1"/>
      <c r="AA1754" s="1"/>
    </row>
    <row r="1755">
      <c r="D1755" s="4"/>
      <c r="H1755" s="1"/>
      <c r="I1755" s="1"/>
      <c r="Q1755" s="1"/>
      <c r="R1755" s="1"/>
      <c r="U1755" s="125"/>
      <c r="V1755" s="111"/>
      <c r="W1755" s="112"/>
      <c r="X1755" s="113"/>
      <c r="Z1755" s="1"/>
      <c r="AA1755" s="1"/>
    </row>
    <row r="1756">
      <c r="D1756" s="4"/>
      <c r="H1756" s="1"/>
      <c r="I1756" s="1"/>
      <c r="Q1756" s="1"/>
      <c r="R1756" s="1"/>
      <c r="U1756" s="125"/>
      <c r="V1756" s="111"/>
      <c r="W1756" s="112"/>
      <c r="X1756" s="113"/>
      <c r="Z1756" s="1"/>
      <c r="AA1756" s="1"/>
    </row>
    <row r="1757">
      <c r="D1757" s="4"/>
      <c r="H1757" s="1"/>
      <c r="I1757" s="1"/>
      <c r="Q1757" s="1"/>
      <c r="R1757" s="1"/>
      <c r="U1757" s="125"/>
      <c r="V1757" s="111"/>
      <c r="W1757" s="112"/>
      <c r="X1757" s="113"/>
      <c r="Z1757" s="1"/>
      <c r="AA1757" s="1"/>
    </row>
    <row r="1758">
      <c r="D1758" s="4"/>
      <c r="H1758" s="1"/>
      <c r="I1758" s="1"/>
      <c r="Q1758" s="1"/>
      <c r="R1758" s="1"/>
      <c r="U1758" s="125"/>
      <c r="V1758" s="111"/>
      <c r="W1758" s="112"/>
      <c r="X1758" s="113"/>
      <c r="Z1758" s="1"/>
      <c r="AA1758" s="1"/>
    </row>
    <row r="1759">
      <c r="D1759" s="4"/>
      <c r="H1759" s="1"/>
      <c r="I1759" s="1"/>
      <c r="Q1759" s="1"/>
      <c r="R1759" s="1"/>
      <c r="U1759" s="125"/>
      <c r="V1759" s="111"/>
      <c r="W1759" s="112"/>
      <c r="X1759" s="113"/>
      <c r="Z1759" s="1"/>
      <c r="AA1759" s="1"/>
    </row>
    <row r="1760">
      <c r="D1760" s="4"/>
      <c r="H1760" s="1"/>
      <c r="I1760" s="1"/>
      <c r="Q1760" s="1"/>
      <c r="R1760" s="1"/>
      <c r="U1760" s="125"/>
      <c r="V1760" s="111"/>
      <c r="W1760" s="112"/>
      <c r="X1760" s="113"/>
      <c r="Z1760" s="1"/>
      <c r="AA1760" s="1"/>
    </row>
    <row r="1761">
      <c r="D1761" s="4"/>
      <c r="H1761" s="1"/>
      <c r="I1761" s="1"/>
      <c r="Q1761" s="1"/>
      <c r="R1761" s="1"/>
      <c r="U1761" s="125"/>
      <c r="V1761" s="111"/>
      <c r="W1761" s="112"/>
      <c r="X1761" s="113"/>
      <c r="Z1761" s="1"/>
      <c r="AA1761" s="1"/>
    </row>
    <row r="1762">
      <c r="D1762" s="4"/>
      <c r="H1762" s="1"/>
      <c r="I1762" s="1"/>
      <c r="Q1762" s="1"/>
      <c r="R1762" s="1"/>
      <c r="U1762" s="125"/>
      <c r="V1762" s="111"/>
      <c r="W1762" s="112"/>
      <c r="X1762" s="113"/>
      <c r="Z1762" s="1"/>
      <c r="AA1762" s="1"/>
    </row>
    <row r="1763">
      <c r="D1763" s="4"/>
      <c r="H1763" s="1"/>
      <c r="I1763" s="1"/>
      <c r="Q1763" s="1"/>
      <c r="R1763" s="1"/>
      <c r="U1763" s="125"/>
      <c r="V1763" s="111"/>
      <c r="W1763" s="112"/>
      <c r="X1763" s="113"/>
      <c r="Z1763" s="1"/>
      <c r="AA1763" s="1"/>
    </row>
    <row r="1764">
      <c r="D1764" s="4"/>
      <c r="H1764" s="1"/>
      <c r="I1764" s="1"/>
      <c r="Q1764" s="1"/>
      <c r="R1764" s="1"/>
      <c r="U1764" s="125"/>
      <c r="V1764" s="111"/>
      <c r="W1764" s="112"/>
      <c r="X1764" s="113"/>
      <c r="Z1764" s="1"/>
      <c r="AA1764" s="1"/>
    </row>
    <row r="1765">
      <c r="D1765" s="4"/>
      <c r="H1765" s="1"/>
      <c r="I1765" s="1"/>
      <c r="Q1765" s="1"/>
      <c r="R1765" s="1"/>
      <c r="U1765" s="125"/>
      <c r="V1765" s="111"/>
      <c r="W1765" s="112"/>
      <c r="X1765" s="113"/>
      <c r="Z1765" s="1"/>
      <c r="AA1765" s="1"/>
    </row>
    <row r="1766">
      <c r="D1766" s="4"/>
      <c r="H1766" s="1"/>
      <c r="I1766" s="1"/>
      <c r="Q1766" s="1"/>
      <c r="R1766" s="1"/>
      <c r="U1766" s="125"/>
      <c r="V1766" s="111"/>
      <c r="W1766" s="112"/>
      <c r="X1766" s="113"/>
      <c r="Z1766" s="1"/>
      <c r="AA1766" s="1"/>
    </row>
    <row r="1767">
      <c r="D1767" s="4"/>
      <c r="H1767" s="1"/>
      <c r="I1767" s="1"/>
      <c r="Q1767" s="1"/>
      <c r="R1767" s="1"/>
      <c r="U1767" s="125"/>
      <c r="V1767" s="111"/>
      <c r="W1767" s="112"/>
      <c r="X1767" s="113"/>
      <c r="Z1767" s="1"/>
      <c r="AA1767" s="1"/>
    </row>
    <row r="1768">
      <c r="D1768" s="4"/>
      <c r="H1768" s="1"/>
      <c r="I1768" s="1"/>
      <c r="Q1768" s="1"/>
      <c r="R1768" s="1"/>
      <c r="U1768" s="125"/>
      <c r="V1768" s="111"/>
      <c r="W1768" s="112"/>
      <c r="X1768" s="113"/>
      <c r="Z1768" s="1"/>
      <c r="AA1768" s="1"/>
    </row>
    <row r="1769">
      <c r="D1769" s="4"/>
      <c r="H1769" s="1"/>
      <c r="I1769" s="1"/>
      <c r="Q1769" s="1"/>
      <c r="R1769" s="1"/>
      <c r="U1769" s="125"/>
      <c r="V1769" s="111"/>
      <c r="W1769" s="112"/>
      <c r="X1769" s="113"/>
      <c r="Z1769" s="1"/>
      <c r="AA1769" s="1"/>
    </row>
    <row r="1770">
      <c r="D1770" s="4"/>
      <c r="H1770" s="1"/>
      <c r="I1770" s="1"/>
      <c r="Q1770" s="1"/>
      <c r="R1770" s="1"/>
      <c r="U1770" s="125"/>
      <c r="V1770" s="111"/>
      <c r="W1770" s="112"/>
      <c r="X1770" s="113"/>
      <c r="Z1770" s="1"/>
      <c r="AA1770" s="1"/>
    </row>
    <row r="1771">
      <c r="D1771" s="4"/>
      <c r="H1771" s="1"/>
      <c r="I1771" s="1"/>
      <c r="Q1771" s="1"/>
      <c r="R1771" s="1"/>
      <c r="U1771" s="125"/>
      <c r="V1771" s="111"/>
      <c r="W1771" s="112"/>
      <c r="X1771" s="113"/>
      <c r="Z1771" s="1"/>
      <c r="AA1771" s="1"/>
    </row>
    <row r="1772">
      <c r="D1772" s="4"/>
      <c r="H1772" s="1"/>
      <c r="I1772" s="1"/>
      <c r="Q1772" s="1"/>
      <c r="R1772" s="1"/>
      <c r="U1772" s="125"/>
      <c r="V1772" s="111"/>
      <c r="W1772" s="112"/>
      <c r="X1772" s="113"/>
      <c r="Z1772" s="1"/>
      <c r="AA1772" s="1"/>
    </row>
    <row r="1773">
      <c r="D1773" s="4"/>
      <c r="H1773" s="1"/>
      <c r="I1773" s="1"/>
      <c r="Q1773" s="1"/>
      <c r="R1773" s="1"/>
      <c r="U1773" s="125"/>
      <c r="V1773" s="111"/>
      <c r="W1773" s="112"/>
      <c r="X1773" s="113"/>
      <c r="Z1773" s="1"/>
      <c r="AA1773" s="1"/>
    </row>
    <row r="1774">
      <c r="D1774" s="4"/>
      <c r="H1774" s="1"/>
      <c r="I1774" s="1"/>
      <c r="Q1774" s="1"/>
      <c r="R1774" s="1"/>
      <c r="U1774" s="125"/>
      <c r="V1774" s="111"/>
      <c r="W1774" s="112"/>
      <c r="X1774" s="113"/>
      <c r="Z1774" s="1"/>
      <c r="AA1774" s="1"/>
    </row>
    <row r="1775">
      <c r="D1775" s="4"/>
      <c r="H1775" s="1"/>
      <c r="I1775" s="1"/>
      <c r="Q1775" s="1"/>
      <c r="R1775" s="1"/>
      <c r="U1775" s="125"/>
      <c r="V1775" s="111"/>
      <c r="W1775" s="112"/>
      <c r="X1775" s="113"/>
      <c r="Z1775" s="1"/>
      <c r="AA1775" s="1"/>
    </row>
    <row r="1776">
      <c r="D1776" s="4"/>
      <c r="H1776" s="1"/>
      <c r="I1776" s="1"/>
      <c r="Q1776" s="1"/>
      <c r="R1776" s="1"/>
      <c r="U1776" s="125"/>
      <c r="V1776" s="111"/>
      <c r="W1776" s="112"/>
      <c r="X1776" s="113"/>
      <c r="Z1776" s="1"/>
      <c r="AA1776" s="1"/>
    </row>
    <row r="1777">
      <c r="D1777" s="4"/>
      <c r="H1777" s="1"/>
      <c r="I1777" s="1"/>
      <c r="Q1777" s="1"/>
      <c r="R1777" s="1"/>
      <c r="U1777" s="125"/>
      <c r="V1777" s="111"/>
      <c r="W1777" s="112"/>
      <c r="X1777" s="113"/>
      <c r="Z1777" s="1"/>
      <c r="AA1777" s="1"/>
    </row>
    <row r="1778">
      <c r="D1778" s="4"/>
      <c r="H1778" s="1"/>
      <c r="I1778" s="1"/>
      <c r="Q1778" s="1"/>
      <c r="R1778" s="1"/>
      <c r="U1778" s="125"/>
      <c r="V1778" s="111"/>
      <c r="W1778" s="112"/>
      <c r="X1778" s="113"/>
      <c r="Z1778" s="1"/>
      <c r="AA1778" s="1"/>
    </row>
    <row r="1779">
      <c r="D1779" s="4"/>
      <c r="H1779" s="1"/>
      <c r="I1779" s="1"/>
      <c r="Q1779" s="1"/>
      <c r="R1779" s="1"/>
      <c r="U1779" s="125"/>
      <c r="V1779" s="111"/>
      <c r="W1779" s="112"/>
      <c r="X1779" s="113"/>
      <c r="Z1779" s="1"/>
      <c r="AA1779" s="1"/>
    </row>
    <row r="1780">
      <c r="D1780" s="4"/>
      <c r="H1780" s="1"/>
      <c r="I1780" s="1"/>
      <c r="Q1780" s="1"/>
      <c r="R1780" s="1"/>
      <c r="U1780" s="125"/>
      <c r="V1780" s="111"/>
      <c r="W1780" s="112"/>
      <c r="X1780" s="113"/>
      <c r="Z1780" s="1"/>
      <c r="AA1780" s="1"/>
    </row>
    <row r="1781">
      <c r="D1781" s="4"/>
      <c r="H1781" s="1"/>
      <c r="I1781" s="1"/>
      <c r="Q1781" s="1"/>
      <c r="R1781" s="1"/>
      <c r="U1781" s="125"/>
      <c r="V1781" s="111"/>
      <c r="W1781" s="112"/>
      <c r="X1781" s="113"/>
      <c r="Z1781" s="1"/>
      <c r="AA1781" s="1"/>
    </row>
    <row r="1782">
      <c r="D1782" s="4"/>
      <c r="H1782" s="1"/>
      <c r="I1782" s="1"/>
      <c r="Q1782" s="1"/>
      <c r="R1782" s="1"/>
      <c r="U1782" s="125"/>
      <c r="V1782" s="111"/>
      <c r="W1782" s="112"/>
      <c r="X1782" s="113"/>
      <c r="Z1782" s="1"/>
      <c r="AA1782" s="1"/>
    </row>
    <row r="1783">
      <c r="D1783" s="4"/>
      <c r="H1783" s="1"/>
      <c r="I1783" s="1"/>
      <c r="Q1783" s="1"/>
      <c r="R1783" s="1"/>
      <c r="U1783" s="125"/>
      <c r="V1783" s="111"/>
      <c r="W1783" s="112"/>
      <c r="X1783" s="113"/>
      <c r="Z1783" s="1"/>
      <c r="AA1783" s="1"/>
    </row>
    <row r="1784">
      <c r="D1784" s="4"/>
      <c r="H1784" s="1"/>
      <c r="I1784" s="1"/>
      <c r="Q1784" s="1"/>
      <c r="R1784" s="1"/>
      <c r="U1784" s="125"/>
      <c r="V1784" s="111"/>
      <c r="W1784" s="112"/>
      <c r="X1784" s="113"/>
      <c r="Z1784" s="1"/>
      <c r="AA1784" s="1"/>
    </row>
    <row r="1785">
      <c r="D1785" s="4"/>
      <c r="H1785" s="1"/>
      <c r="I1785" s="1"/>
      <c r="Q1785" s="1"/>
      <c r="R1785" s="1"/>
      <c r="U1785" s="125"/>
      <c r="V1785" s="111"/>
      <c r="W1785" s="112"/>
      <c r="X1785" s="113"/>
      <c r="Z1785" s="1"/>
      <c r="AA1785" s="1"/>
    </row>
    <row r="1786">
      <c r="D1786" s="4"/>
      <c r="H1786" s="1"/>
      <c r="I1786" s="1"/>
      <c r="Q1786" s="1"/>
      <c r="R1786" s="1"/>
      <c r="U1786" s="125"/>
      <c r="V1786" s="111"/>
      <c r="W1786" s="112"/>
      <c r="X1786" s="113"/>
      <c r="Z1786" s="1"/>
      <c r="AA1786" s="1"/>
    </row>
    <row r="1787">
      <c r="D1787" s="4"/>
      <c r="H1787" s="1"/>
      <c r="I1787" s="1"/>
      <c r="Q1787" s="1"/>
      <c r="R1787" s="1"/>
      <c r="U1787" s="125"/>
      <c r="V1787" s="111"/>
      <c r="W1787" s="112"/>
      <c r="X1787" s="113"/>
      <c r="Z1787" s="1"/>
      <c r="AA1787" s="1"/>
    </row>
    <row r="1788">
      <c r="D1788" s="4"/>
      <c r="H1788" s="1"/>
      <c r="I1788" s="1"/>
      <c r="Q1788" s="1"/>
      <c r="R1788" s="1"/>
      <c r="U1788" s="125"/>
      <c r="V1788" s="111"/>
      <c r="W1788" s="112"/>
      <c r="X1788" s="113"/>
      <c r="Z1788" s="1"/>
      <c r="AA1788" s="1"/>
    </row>
    <row r="1789">
      <c r="D1789" s="4"/>
      <c r="H1789" s="1"/>
      <c r="I1789" s="1"/>
      <c r="Q1789" s="1"/>
      <c r="R1789" s="1"/>
      <c r="U1789" s="125"/>
      <c r="V1789" s="111"/>
      <c r="W1789" s="112"/>
      <c r="X1789" s="113"/>
      <c r="Z1789" s="1"/>
      <c r="AA1789" s="1"/>
    </row>
    <row r="1790">
      <c r="D1790" s="4"/>
      <c r="H1790" s="1"/>
      <c r="I1790" s="1"/>
      <c r="Q1790" s="1"/>
      <c r="R1790" s="1"/>
      <c r="U1790" s="125"/>
      <c r="V1790" s="111"/>
      <c r="W1790" s="112"/>
      <c r="X1790" s="113"/>
      <c r="Z1790" s="1"/>
      <c r="AA1790" s="1"/>
    </row>
    <row r="1791">
      <c r="D1791" s="4"/>
      <c r="H1791" s="1"/>
      <c r="I1791" s="1"/>
      <c r="Q1791" s="1"/>
      <c r="R1791" s="1"/>
      <c r="U1791" s="125"/>
      <c r="V1791" s="111"/>
      <c r="W1791" s="112"/>
      <c r="X1791" s="113"/>
      <c r="Z1791" s="1"/>
      <c r="AA1791" s="1"/>
    </row>
    <row r="1792">
      <c r="D1792" s="4"/>
      <c r="H1792" s="1"/>
      <c r="I1792" s="1"/>
      <c r="Q1792" s="1"/>
      <c r="R1792" s="1"/>
      <c r="U1792" s="125"/>
      <c r="V1792" s="111"/>
      <c r="W1792" s="112"/>
      <c r="X1792" s="113"/>
      <c r="Z1792" s="1"/>
      <c r="AA1792" s="1"/>
    </row>
    <row r="1793">
      <c r="D1793" s="4"/>
      <c r="H1793" s="1"/>
      <c r="I1793" s="1"/>
      <c r="Q1793" s="1"/>
      <c r="R1793" s="1"/>
      <c r="U1793" s="125"/>
      <c r="V1793" s="111"/>
      <c r="W1793" s="112"/>
      <c r="X1793" s="113"/>
      <c r="Z1793" s="1"/>
      <c r="AA1793" s="1"/>
    </row>
    <row r="1794">
      <c r="D1794" s="4"/>
      <c r="H1794" s="1"/>
      <c r="I1794" s="1"/>
      <c r="Q1794" s="1"/>
      <c r="R1794" s="1"/>
      <c r="U1794" s="125"/>
      <c r="V1794" s="111"/>
      <c r="W1794" s="112"/>
      <c r="X1794" s="113"/>
      <c r="Z1794" s="1"/>
      <c r="AA1794" s="1"/>
    </row>
    <row r="1795">
      <c r="D1795" s="4"/>
      <c r="H1795" s="1"/>
      <c r="I1795" s="1"/>
      <c r="Q1795" s="1"/>
      <c r="R1795" s="1"/>
      <c r="U1795" s="125"/>
      <c r="V1795" s="111"/>
      <c r="W1795" s="112"/>
      <c r="X1795" s="113"/>
      <c r="Z1795" s="1"/>
      <c r="AA1795" s="1"/>
    </row>
    <row r="1796">
      <c r="D1796" s="4"/>
      <c r="H1796" s="1"/>
      <c r="I1796" s="1"/>
      <c r="Q1796" s="1"/>
      <c r="R1796" s="1"/>
      <c r="U1796" s="125"/>
      <c r="V1796" s="111"/>
      <c r="W1796" s="112"/>
      <c r="X1796" s="113"/>
      <c r="Z1796" s="1"/>
      <c r="AA1796" s="1"/>
    </row>
    <row r="1797">
      <c r="D1797" s="4"/>
      <c r="H1797" s="1"/>
      <c r="I1797" s="1"/>
      <c r="Q1797" s="1"/>
      <c r="R1797" s="1"/>
      <c r="U1797" s="125"/>
      <c r="V1797" s="111"/>
      <c r="W1797" s="112"/>
      <c r="X1797" s="113"/>
      <c r="Z1797" s="1"/>
      <c r="AA1797" s="1"/>
    </row>
    <row r="1798">
      <c r="D1798" s="4"/>
      <c r="H1798" s="1"/>
      <c r="I1798" s="1"/>
      <c r="Q1798" s="1"/>
      <c r="R1798" s="1"/>
      <c r="U1798" s="125"/>
      <c r="V1798" s="111"/>
      <c r="W1798" s="112"/>
      <c r="X1798" s="113"/>
      <c r="Z1798" s="1"/>
      <c r="AA1798" s="1"/>
    </row>
    <row r="1799">
      <c r="D1799" s="4"/>
      <c r="H1799" s="1"/>
      <c r="I1799" s="1"/>
      <c r="Q1799" s="1"/>
      <c r="R1799" s="1"/>
      <c r="U1799" s="125"/>
      <c r="V1799" s="111"/>
      <c r="W1799" s="112"/>
      <c r="X1799" s="113"/>
      <c r="Z1799" s="1"/>
      <c r="AA1799" s="1"/>
    </row>
    <row r="1800">
      <c r="D1800" s="4"/>
      <c r="H1800" s="1"/>
      <c r="I1800" s="1"/>
      <c r="Q1800" s="1"/>
      <c r="R1800" s="1"/>
      <c r="U1800" s="125"/>
      <c r="V1800" s="111"/>
      <c r="W1800" s="112"/>
      <c r="X1800" s="113"/>
      <c r="Z1800" s="1"/>
      <c r="AA1800" s="1"/>
    </row>
    <row r="1801">
      <c r="D1801" s="4"/>
      <c r="H1801" s="1"/>
      <c r="I1801" s="1"/>
      <c r="Q1801" s="1"/>
      <c r="R1801" s="1"/>
      <c r="U1801" s="125"/>
      <c r="V1801" s="111"/>
      <c r="W1801" s="112"/>
      <c r="X1801" s="113"/>
      <c r="Z1801" s="1"/>
      <c r="AA1801" s="1"/>
    </row>
    <row r="1802">
      <c r="D1802" s="4"/>
      <c r="H1802" s="1"/>
      <c r="I1802" s="1"/>
      <c r="Q1802" s="1"/>
      <c r="R1802" s="1"/>
      <c r="U1802" s="125"/>
      <c r="V1802" s="111"/>
      <c r="W1802" s="112"/>
      <c r="X1802" s="113"/>
      <c r="Z1802" s="1"/>
      <c r="AA1802" s="1"/>
    </row>
    <row r="1803">
      <c r="D1803" s="4"/>
      <c r="H1803" s="1"/>
      <c r="I1803" s="1"/>
      <c r="Q1803" s="1"/>
      <c r="R1803" s="1"/>
      <c r="U1803" s="125"/>
      <c r="V1803" s="111"/>
      <c r="W1803" s="112"/>
      <c r="X1803" s="113"/>
      <c r="Z1803" s="1"/>
      <c r="AA1803" s="1"/>
    </row>
    <row r="1804">
      <c r="D1804" s="4"/>
      <c r="H1804" s="1"/>
      <c r="I1804" s="1"/>
      <c r="Q1804" s="1"/>
      <c r="R1804" s="1"/>
      <c r="U1804" s="125"/>
      <c r="V1804" s="111"/>
      <c r="W1804" s="112"/>
      <c r="X1804" s="113"/>
      <c r="Z1804" s="1"/>
      <c r="AA1804" s="1"/>
    </row>
    <row r="1805">
      <c r="D1805" s="4"/>
      <c r="H1805" s="1"/>
      <c r="I1805" s="1"/>
      <c r="Q1805" s="1"/>
      <c r="R1805" s="1"/>
      <c r="U1805" s="125"/>
      <c r="V1805" s="111"/>
      <c r="W1805" s="112"/>
      <c r="X1805" s="113"/>
      <c r="Z1805" s="1"/>
      <c r="AA1805" s="1"/>
    </row>
    <row r="1806">
      <c r="D1806" s="4"/>
      <c r="H1806" s="1"/>
      <c r="I1806" s="1"/>
      <c r="Q1806" s="1"/>
      <c r="R1806" s="1"/>
      <c r="U1806" s="125"/>
      <c r="V1806" s="111"/>
      <c r="W1806" s="112"/>
      <c r="X1806" s="113"/>
      <c r="Z1806" s="1"/>
      <c r="AA1806" s="1"/>
    </row>
    <row r="1807">
      <c r="D1807" s="4"/>
      <c r="H1807" s="1"/>
      <c r="I1807" s="1"/>
      <c r="Q1807" s="1"/>
      <c r="R1807" s="1"/>
      <c r="U1807" s="125"/>
      <c r="V1807" s="111"/>
      <c r="W1807" s="112"/>
      <c r="X1807" s="113"/>
      <c r="Z1807" s="1"/>
      <c r="AA1807" s="1"/>
    </row>
    <row r="1808">
      <c r="D1808" s="4"/>
      <c r="H1808" s="1"/>
      <c r="I1808" s="1"/>
      <c r="Q1808" s="1"/>
      <c r="R1808" s="1"/>
      <c r="U1808" s="125"/>
      <c r="V1808" s="111"/>
      <c r="W1808" s="112"/>
      <c r="X1808" s="113"/>
      <c r="Z1808" s="1"/>
      <c r="AA1808" s="1"/>
    </row>
    <row r="1809">
      <c r="D1809" s="4"/>
      <c r="H1809" s="1"/>
      <c r="I1809" s="1"/>
      <c r="Q1809" s="1"/>
      <c r="R1809" s="1"/>
      <c r="U1809" s="125"/>
      <c r="V1809" s="111"/>
      <c r="W1809" s="112"/>
      <c r="X1809" s="113"/>
      <c r="Z1809" s="1"/>
      <c r="AA1809" s="1"/>
    </row>
    <row r="1810">
      <c r="D1810" s="4"/>
      <c r="H1810" s="1"/>
      <c r="I1810" s="1"/>
      <c r="Q1810" s="1"/>
      <c r="R1810" s="1"/>
      <c r="U1810" s="125"/>
      <c r="V1810" s="111"/>
      <c r="W1810" s="112"/>
      <c r="X1810" s="113"/>
      <c r="Z1810" s="1"/>
      <c r="AA1810" s="1"/>
    </row>
    <row r="1811">
      <c r="D1811" s="4"/>
      <c r="H1811" s="1"/>
      <c r="I1811" s="1"/>
      <c r="Q1811" s="1"/>
      <c r="R1811" s="1"/>
      <c r="U1811" s="125"/>
      <c r="V1811" s="111"/>
      <c r="W1811" s="112"/>
      <c r="X1811" s="113"/>
      <c r="Z1811" s="1"/>
      <c r="AA1811" s="1"/>
    </row>
    <row r="1812">
      <c r="D1812" s="4"/>
      <c r="H1812" s="1"/>
      <c r="I1812" s="1"/>
      <c r="Q1812" s="1"/>
      <c r="R1812" s="1"/>
      <c r="U1812" s="125"/>
      <c r="V1812" s="111"/>
      <c r="W1812" s="112"/>
      <c r="X1812" s="113"/>
      <c r="Z1812" s="1"/>
      <c r="AA1812" s="1"/>
    </row>
    <row r="1813">
      <c r="D1813" s="4"/>
      <c r="H1813" s="1"/>
      <c r="I1813" s="1"/>
      <c r="Q1813" s="1"/>
      <c r="R1813" s="1"/>
      <c r="U1813" s="125"/>
      <c r="V1813" s="111"/>
      <c r="W1813" s="112"/>
      <c r="X1813" s="113"/>
      <c r="Z1813" s="1"/>
      <c r="AA1813" s="1"/>
    </row>
    <row r="1814">
      <c r="D1814" s="4"/>
      <c r="H1814" s="1"/>
      <c r="I1814" s="1"/>
      <c r="Q1814" s="1"/>
      <c r="R1814" s="1"/>
      <c r="U1814" s="125"/>
      <c r="V1814" s="111"/>
      <c r="W1814" s="112"/>
      <c r="X1814" s="113"/>
      <c r="Z1814" s="1"/>
      <c r="AA1814" s="1"/>
    </row>
    <row r="1815">
      <c r="D1815" s="4"/>
      <c r="H1815" s="1"/>
      <c r="I1815" s="1"/>
      <c r="Q1815" s="1"/>
      <c r="R1815" s="1"/>
      <c r="U1815" s="125"/>
      <c r="V1815" s="111"/>
      <c r="W1815" s="112"/>
      <c r="X1815" s="113"/>
      <c r="Z1815" s="1"/>
      <c r="AA1815" s="1"/>
    </row>
    <row r="1816">
      <c r="D1816" s="4"/>
      <c r="H1816" s="1"/>
      <c r="I1816" s="1"/>
      <c r="Q1816" s="1"/>
      <c r="R1816" s="1"/>
      <c r="U1816" s="125"/>
      <c r="V1816" s="111"/>
      <c r="W1816" s="112"/>
      <c r="X1816" s="113"/>
      <c r="Z1816" s="1"/>
      <c r="AA1816" s="1"/>
    </row>
    <row r="1817">
      <c r="D1817" s="4"/>
      <c r="H1817" s="1"/>
      <c r="I1817" s="1"/>
      <c r="Q1817" s="1"/>
      <c r="R1817" s="1"/>
      <c r="U1817" s="125"/>
      <c r="V1817" s="111"/>
      <c r="W1817" s="112"/>
      <c r="X1817" s="113"/>
      <c r="Z1817" s="1"/>
      <c r="AA1817" s="1"/>
    </row>
    <row r="1818">
      <c r="D1818" s="4"/>
      <c r="H1818" s="1"/>
      <c r="I1818" s="1"/>
      <c r="Q1818" s="1"/>
      <c r="R1818" s="1"/>
      <c r="U1818" s="125"/>
      <c r="V1818" s="111"/>
      <c r="W1818" s="112"/>
      <c r="X1818" s="113"/>
      <c r="Z1818" s="1"/>
      <c r="AA1818" s="1"/>
    </row>
    <row r="1819">
      <c r="D1819" s="4"/>
      <c r="H1819" s="1"/>
      <c r="I1819" s="1"/>
      <c r="Q1819" s="1"/>
      <c r="R1819" s="1"/>
      <c r="U1819" s="125"/>
      <c r="V1819" s="111"/>
      <c r="W1819" s="112"/>
      <c r="X1819" s="113"/>
      <c r="Z1819" s="1"/>
      <c r="AA1819" s="1"/>
    </row>
    <row r="1820">
      <c r="D1820" s="4"/>
      <c r="H1820" s="1"/>
      <c r="I1820" s="1"/>
      <c r="Q1820" s="1"/>
      <c r="R1820" s="1"/>
      <c r="U1820" s="125"/>
      <c r="V1820" s="111"/>
      <c r="W1820" s="112"/>
      <c r="X1820" s="113"/>
      <c r="Z1820" s="1"/>
      <c r="AA1820" s="1"/>
    </row>
    <row r="1821">
      <c r="D1821" s="4"/>
      <c r="H1821" s="1"/>
      <c r="I1821" s="1"/>
      <c r="Q1821" s="1"/>
      <c r="R1821" s="1"/>
      <c r="U1821" s="125"/>
      <c r="V1821" s="111"/>
      <c r="W1821" s="112"/>
      <c r="X1821" s="113"/>
      <c r="Z1821" s="1"/>
      <c r="AA1821" s="1"/>
    </row>
    <row r="1822">
      <c r="D1822" s="4"/>
      <c r="H1822" s="1"/>
      <c r="I1822" s="1"/>
      <c r="Q1822" s="1"/>
      <c r="R1822" s="1"/>
      <c r="U1822" s="125"/>
      <c r="V1822" s="111"/>
      <c r="W1822" s="112"/>
      <c r="X1822" s="113"/>
      <c r="Z1822" s="1"/>
      <c r="AA1822" s="1"/>
    </row>
    <row r="1823">
      <c r="D1823" s="4"/>
      <c r="H1823" s="1"/>
      <c r="I1823" s="1"/>
      <c r="Q1823" s="1"/>
      <c r="R1823" s="1"/>
      <c r="U1823" s="125"/>
      <c r="V1823" s="111"/>
      <c r="W1823" s="112"/>
      <c r="X1823" s="113"/>
      <c r="Z1823" s="1"/>
      <c r="AA1823" s="1"/>
    </row>
    <row r="1824">
      <c r="D1824" s="4"/>
      <c r="H1824" s="1"/>
      <c r="I1824" s="1"/>
      <c r="Q1824" s="1"/>
      <c r="R1824" s="1"/>
      <c r="U1824" s="125"/>
      <c r="V1824" s="111"/>
      <c r="W1824" s="112"/>
      <c r="X1824" s="113"/>
      <c r="Z1824" s="1"/>
      <c r="AA1824" s="1"/>
    </row>
    <row r="1825">
      <c r="D1825" s="4"/>
      <c r="H1825" s="1"/>
      <c r="I1825" s="1"/>
      <c r="Q1825" s="1"/>
      <c r="R1825" s="1"/>
      <c r="U1825" s="125"/>
      <c r="V1825" s="111"/>
      <c r="W1825" s="112"/>
      <c r="X1825" s="113"/>
      <c r="Z1825" s="1"/>
      <c r="AA1825" s="1"/>
    </row>
    <row r="1826">
      <c r="D1826" s="4"/>
      <c r="H1826" s="1"/>
      <c r="I1826" s="1"/>
      <c r="Q1826" s="1"/>
      <c r="R1826" s="1"/>
      <c r="U1826" s="125"/>
      <c r="V1826" s="111"/>
      <c r="W1826" s="112"/>
      <c r="X1826" s="113"/>
      <c r="Z1826" s="1"/>
      <c r="AA1826" s="1"/>
    </row>
    <row r="1827">
      <c r="D1827" s="4"/>
      <c r="H1827" s="1"/>
      <c r="I1827" s="1"/>
      <c r="Q1827" s="1"/>
      <c r="R1827" s="1"/>
      <c r="U1827" s="125"/>
      <c r="V1827" s="111"/>
      <c r="W1827" s="112"/>
      <c r="X1827" s="113"/>
      <c r="Z1827" s="1"/>
      <c r="AA1827" s="1"/>
    </row>
    <row r="1828">
      <c r="D1828" s="4"/>
      <c r="H1828" s="1"/>
      <c r="I1828" s="1"/>
      <c r="Q1828" s="1"/>
      <c r="R1828" s="1"/>
      <c r="U1828" s="125"/>
      <c r="V1828" s="111"/>
      <c r="W1828" s="112"/>
      <c r="X1828" s="113"/>
      <c r="Z1828" s="1"/>
      <c r="AA1828" s="1"/>
    </row>
    <row r="1829">
      <c r="D1829" s="4"/>
      <c r="H1829" s="1"/>
      <c r="I1829" s="1"/>
      <c r="Q1829" s="1"/>
      <c r="R1829" s="1"/>
      <c r="U1829" s="125"/>
      <c r="V1829" s="111"/>
      <c r="W1829" s="112"/>
      <c r="X1829" s="113"/>
      <c r="Z1829" s="1"/>
      <c r="AA1829" s="1"/>
    </row>
    <row r="1830">
      <c r="D1830" s="4"/>
      <c r="H1830" s="1"/>
      <c r="I1830" s="1"/>
      <c r="Q1830" s="1"/>
      <c r="R1830" s="1"/>
      <c r="U1830" s="125"/>
      <c r="V1830" s="111"/>
      <c r="W1830" s="112"/>
      <c r="X1830" s="113"/>
      <c r="Z1830" s="1"/>
      <c r="AA1830" s="1"/>
    </row>
    <row r="1831">
      <c r="D1831" s="4"/>
      <c r="H1831" s="1"/>
      <c r="I1831" s="1"/>
      <c r="Q1831" s="1"/>
      <c r="R1831" s="1"/>
      <c r="U1831" s="125"/>
      <c r="V1831" s="111"/>
      <c r="W1831" s="112"/>
      <c r="X1831" s="113"/>
      <c r="Z1831" s="1"/>
      <c r="AA1831" s="1"/>
    </row>
    <row r="1832">
      <c r="D1832" s="4"/>
      <c r="H1832" s="1"/>
      <c r="I1832" s="1"/>
      <c r="Q1832" s="1"/>
      <c r="R1832" s="1"/>
      <c r="U1832" s="125"/>
      <c r="V1832" s="111"/>
      <c r="W1832" s="112"/>
      <c r="X1832" s="113"/>
      <c r="Z1832" s="1"/>
      <c r="AA1832" s="1"/>
    </row>
    <row r="1833">
      <c r="D1833" s="4"/>
      <c r="H1833" s="1"/>
      <c r="I1833" s="1"/>
      <c r="Q1833" s="1"/>
      <c r="R1833" s="1"/>
      <c r="U1833" s="125"/>
      <c r="V1833" s="111"/>
      <c r="W1833" s="112"/>
      <c r="X1833" s="113"/>
      <c r="Z1833" s="1"/>
      <c r="AA1833" s="1"/>
    </row>
    <row r="1834">
      <c r="D1834" s="4"/>
      <c r="H1834" s="1"/>
      <c r="I1834" s="1"/>
      <c r="Q1834" s="1"/>
      <c r="R1834" s="1"/>
      <c r="U1834" s="125"/>
      <c r="V1834" s="111"/>
      <c r="W1834" s="112"/>
      <c r="X1834" s="113"/>
      <c r="Z1834" s="1"/>
      <c r="AA1834" s="1"/>
    </row>
    <row r="1835">
      <c r="D1835" s="4"/>
      <c r="H1835" s="1"/>
      <c r="I1835" s="1"/>
      <c r="Q1835" s="1"/>
      <c r="R1835" s="1"/>
      <c r="U1835" s="125"/>
      <c r="V1835" s="111"/>
      <c r="W1835" s="112"/>
      <c r="X1835" s="113"/>
      <c r="Z1835" s="1"/>
      <c r="AA1835" s="1"/>
    </row>
    <row r="1836">
      <c r="D1836" s="4"/>
      <c r="H1836" s="1"/>
      <c r="I1836" s="1"/>
      <c r="Q1836" s="1"/>
      <c r="R1836" s="1"/>
      <c r="U1836" s="125"/>
      <c r="V1836" s="111"/>
      <c r="W1836" s="112"/>
      <c r="X1836" s="113"/>
      <c r="Z1836" s="1"/>
      <c r="AA1836" s="1"/>
    </row>
    <row r="1837">
      <c r="D1837" s="4"/>
      <c r="H1837" s="1"/>
      <c r="I1837" s="1"/>
      <c r="Q1837" s="1"/>
      <c r="R1837" s="1"/>
      <c r="U1837" s="125"/>
      <c r="V1837" s="111"/>
      <c r="W1837" s="112"/>
      <c r="X1837" s="113"/>
      <c r="Z1837" s="1"/>
      <c r="AA1837" s="1"/>
    </row>
    <row r="1838">
      <c r="D1838" s="4"/>
      <c r="H1838" s="1"/>
      <c r="I1838" s="1"/>
      <c r="Q1838" s="1"/>
      <c r="R1838" s="1"/>
      <c r="U1838" s="125"/>
      <c r="V1838" s="111"/>
      <c r="W1838" s="112"/>
      <c r="X1838" s="113"/>
      <c r="Z1838" s="1"/>
      <c r="AA1838" s="1"/>
    </row>
    <row r="1839">
      <c r="D1839" s="4"/>
      <c r="H1839" s="1"/>
      <c r="I1839" s="1"/>
      <c r="Q1839" s="1"/>
      <c r="R1839" s="1"/>
      <c r="U1839" s="125"/>
      <c r="V1839" s="111"/>
      <c r="W1839" s="112"/>
      <c r="X1839" s="113"/>
      <c r="Z1839" s="1"/>
      <c r="AA1839" s="1"/>
    </row>
    <row r="1840">
      <c r="D1840" s="4"/>
      <c r="H1840" s="1"/>
      <c r="I1840" s="1"/>
      <c r="Q1840" s="1"/>
      <c r="R1840" s="1"/>
      <c r="U1840" s="125"/>
      <c r="V1840" s="111"/>
      <c r="W1840" s="112"/>
      <c r="X1840" s="113"/>
      <c r="Z1840" s="1"/>
      <c r="AA1840" s="1"/>
    </row>
    <row r="1841">
      <c r="D1841" s="4"/>
      <c r="H1841" s="1"/>
      <c r="I1841" s="1"/>
      <c r="Q1841" s="1"/>
      <c r="R1841" s="1"/>
      <c r="U1841" s="125"/>
      <c r="V1841" s="111"/>
      <c r="W1841" s="112"/>
      <c r="X1841" s="113"/>
      <c r="Z1841" s="1"/>
      <c r="AA1841" s="1"/>
    </row>
    <row r="1842">
      <c r="D1842" s="4"/>
      <c r="H1842" s="1"/>
      <c r="I1842" s="1"/>
      <c r="Q1842" s="1"/>
      <c r="R1842" s="1"/>
      <c r="U1842" s="125"/>
      <c r="V1842" s="111"/>
      <c r="W1842" s="112"/>
      <c r="X1842" s="113"/>
      <c r="Z1842" s="1"/>
      <c r="AA1842" s="1"/>
    </row>
    <row r="1843">
      <c r="D1843" s="4"/>
      <c r="H1843" s="1"/>
      <c r="I1843" s="1"/>
      <c r="Q1843" s="1"/>
      <c r="R1843" s="1"/>
      <c r="U1843" s="125"/>
      <c r="V1843" s="111"/>
      <c r="W1843" s="112"/>
      <c r="X1843" s="113"/>
      <c r="Z1843" s="1"/>
      <c r="AA1843" s="1"/>
    </row>
    <row r="1844">
      <c r="D1844" s="4"/>
      <c r="H1844" s="1"/>
      <c r="I1844" s="1"/>
      <c r="Q1844" s="1"/>
      <c r="R1844" s="1"/>
      <c r="U1844" s="125"/>
      <c r="V1844" s="111"/>
      <c r="W1844" s="112"/>
      <c r="X1844" s="113"/>
      <c r="Z1844" s="1"/>
      <c r="AA1844" s="1"/>
    </row>
    <row r="1845">
      <c r="D1845" s="4"/>
      <c r="H1845" s="1"/>
      <c r="I1845" s="1"/>
      <c r="Q1845" s="1"/>
      <c r="R1845" s="1"/>
      <c r="U1845" s="125"/>
      <c r="V1845" s="111"/>
      <c r="W1845" s="112"/>
      <c r="X1845" s="113"/>
      <c r="Z1845" s="1"/>
      <c r="AA1845" s="1"/>
    </row>
    <row r="1846">
      <c r="D1846" s="4"/>
      <c r="H1846" s="1"/>
      <c r="I1846" s="1"/>
      <c r="Q1846" s="1"/>
      <c r="R1846" s="1"/>
      <c r="U1846" s="125"/>
      <c r="V1846" s="111"/>
      <c r="W1846" s="112"/>
      <c r="X1846" s="113"/>
      <c r="Z1846" s="1"/>
      <c r="AA1846" s="1"/>
    </row>
    <row r="1847">
      <c r="D1847" s="4"/>
      <c r="H1847" s="1"/>
      <c r="I1847" s="1"/>
      <c r="Q1847" s="1"/>
      <c r="R1847" s="1"/>
      <c r="U1847" s="125"/>
      <c r="V1847" s="111"/>
      <c r="W1847" s="112"/>
      <c r="X1847" s="113"/>
      <c r="Z1847" s="1"/>
      <c r="AA1847" s="1"/>
    </row>
    <row r="1848">
      <c r="D1848" s="4"/>
      <c r="H1848" s="1"/>
      <c r="I1848" s="1"/>
      <c r="Q1848" s="1"/>
      <c r="R1848" s="1"/>
      <c r="U1848" s="125"/>
      <c r="V1848" s="111"/>
      <c r="W1848" s="112"/>
      <c r="X1848" s="113"/>
      <c r="Z1848" s="1"/>
      <c r="AA1848" s="1"/>
    </row>
    <row r="1849">
      <c r="D1849" s="4"/>
      <c r="H1849" s="1"/>
      <c r="I1849" s="1"/>
      <c r="Q1849" s="1"/>
      <c r="R1849" s="1"/>
      <c r="U1849" s="125"/>
      <c r="V1849" s="111"/>
      <c r="W1849" s="112"/>
      <c r="X1849" s="113"/>
      <c r="Z1849" s="1"/>
      <c r="AA1849" s="1"/>
    </row>
    <row r="1850">
      <c r="D1850" s="4"/>
      <c r="H1850" s="1"/>
      <c r="I1850" s="1"/>
      <c r="Q1850" s="1"/>
      <c r="R1850" s="1"/>
      <c r="U1850" s="125"/>
      <c r="V1850" s="111"/>
      <c r="W1850" s="112"/>
      <c r="X1850" s="113"/>
      <c r="Z1850" s="1"/>
      <c r="AA1850" s="1"/>
    </row>
    <row r="1851">
      <c r="D1851" s="4"/>
      <c r="H1851" s="1"/>
      <c r="I1851" s="1"/>
      <c r="Q1851" s="1"/>
      <c r="R1851" s="1"/>
      <c r="U1851" s="125"/>
      <c r="V1851" s="111"/>
      <c r="W1851" s="112"/>
      <c r="X1851" s="113"/>
      <c r="Z1851" s="1"/>
      <c r="AA1851" s="1"/>
    </row>
    <row r="1852">
      <c r="D1852" s="4"/>
      <c r="H1852" s="1"/>
      <c r="I1852" s="1"/>
      <c r="Q1852" s="1"/>
      <c r="R1852" s="1"/>
      <c r="U1852" s="125"/>
      <c r="V1852" s="111"/>
      <c r="W1852" s="112"/>
      <c r="X1852" s="113"/>
      <c r="Z1852" s="1"/>
      <c r="AA1852" s="1"/>
    </row>
    <row r="1853">
      <c r="D1853" s="4"/>
      <c r="H1853" s="1"/>
      <c r="I1853" s="1"/>
      <c r="Q1853" s="1"/>
      <c r="R1853" s="1"/>
      <c r="U1853" s="125"/>
      <c r="V1853" s="111"/>
      <c r="W1853" s="112"/>
      <c r="X1853" s="113"/>
      <c r="Z1853" s="1"/>
      <c r="AA1853" s="1"/>
    </row>
    <row r="1854">
      <c r="D1854" s="4"/>
      <c r="H1854" s="1"/>
      <c r="I1854" s="1"/>
      <c r="Q1854" s="1"/>
      <c r="R1854" s="1"/>
      <c r="U1854" s="125"/>
      <c r="V1854" s="111"/>
      <c r="W1854" s="112"/>
      <c r="X1854" s="113"/>
      <c r="Z1854" s="1"/>
      <c r="AA1854" s="1"/>
    </row>
    <row r="1855">
      <c r="D1855" s="4"/>
      <c r="H1855" s="1"/>
      <c r="I1855" s="1"/>
      <c r="Q1855" s="1"/>
      <c r="R1855" s="1"/>
      <c r="U1855" s="125"/>
      <c r="V1855" s="111"/>
      <c r="W1855" s="112"/>
      <c r="X1855" s="113"/>
      <c r="Z1855" s="1"/>
      <c r="AA1855" s="1"/>
    </row>
    <row r="1856">
      <c r="D1856" s="4"/>
      <c r="H1856" s="1"/>
      <c r="I1856" s="1"/>
      <c r="Q1856" s="1"/>
      <c r="R1856" s="1"/>
      <c r="U1856" s="125"/>
      <c r="V1856" s="111"/>
      <c r="W1856" s="112"/>
      <c r="X1856" s="113"/>
      <c r="Z1856" s="1"/>
      <c r="AA1856" s="1"/>
    </row>
    <row r="1857">
      <c r="D1857" s="4"/>
      <c r="H1857" s="1"/>
      <c r="I1857" s="1"/>
      <c r="Q1857" s="1"/>
      <c r="R1857" s="1"/>
      <c r="U1857" s="125"/>
      <c r="V1857" s="111"/>
      <c r="W1857" s="112"/>
      <c r="X1857" s="113"/>
      <c r="Z1857" s="1"/>
      <c r="AA1857" s="1"/>
    </row>
    <row r="1858">
      <c r="D1858" s="4"/>
      <c r="H1858" s="1"/>
      <c r="I1858" s="1"/>
      <c r="Q1858" s="1"/>
      <c r="R1858" s="1"/>
      <c r="U1858" s="125"/>
      <c r="V1858" s="111"/>
      <c r="W1858" s="112"/>
      <c r="X1858" s="113"/>
      <c r="Z1858" s="1"/>
      <c r="AA1858" s="1"/>
    </row>
    <row r="1859">
      <c r="D1859" s="4"/>
      <c r="H1859" s="1"/>
      <c r="I1859" s="1"/>
      <c r="Q1859" s="1"/>
      <c r="R1859" s="1"/>
      <c r="U1859" s="125"/>
      <c r="V1859" s="111"/>
      <c r="W1859" s="112"/>
      <c r="X1859" s="113"/>
      <c r="Z1859" s="1"/>
      <c r="AA1859" s="1"/>
    </row>
    <row r="1860">
      <c r="D1860" s="4"/>
      <c r="H1860" s="1"/>
      <c r="I1860" s="1"/>
      <c r="Q1860" s="1"/>
      <c r="R1860" s="1"/>
      <c r="U1860" s="125"/>
      <c r="V1860" s="111"/>
      <c r="W1860" s="112"/>
      <c r="X1860" s="113"/>
      <c r="Z1860" s="1"/>
      <c r="AA1860" s="1"/>
    </row>
    <row r="1861">
      <c r="D1861" s="4"/>
      <c r="H1861" s="1"/>
      <c r="I1861" s="1"/>
      <c r="Q1861" s="1"/>
      <c r="R1861" s="1"/>
      <c r="U1861" s="125"/>
      <c r="V1861" s="111"/>
      <c r="W1861" s="112"/>
      <c r="X1861" s="113"/>
      <c r="Z1861" s="1"/>
      <c r="AA1861" s="1"/>
    </row>
    <row r="1862">
      <c r="D1862" s="4"/>
      <c r="H1862" s="1"/>
      <c r="I1862" s="1"/>
      <c r="Q1862" s="1"/>
      <c r="R1862" s="1"/>
      <c r="U1862" s="125"/>
      <c r="V1862" s="111"/>
      <c r="W1862" s="112"/>
      <c r="X1862" s="113"/>
      <c r="Z1862" s="1"/>
      <c r="AA1862" s="1"/>
    </row>
    <row r="1863">
      <c r="D1863" s="4"/>
      <c r="H1863" s="1"/>
      <c r="I1863" s="1"/>
      <c r="Q1863" s="1"/>
      <c r="R1863" s="1"/>
      <c r="U1863" s="125"/>
      <c r="V1863" s="111"/>
      <c r="W1863" s="112"/>
      <c r="X1863" s="113"/>
      <c r="Z1863" s="1"/>
      <c r="AA1863" s="1"/>
    </row>
    <row r="1864">
      <c r="D1864" s="4"/>
      <c r="H1864" s="1"/>
      <c r="I1864" s="1"/>
      <c r="Q1864" s="1"/>
      <c r="R1864" s="1"/>
      <c r="U1864" s="125"/>
      <c r="V1864" s="111"/>
      <c r="W1864" s="112"/>
      <c r="X1864" s="113"/>
      <c r="Z1864" s="1"/>
      <c r="AA1864" s="1"/>
    </row>
    <row r="1865">
      <c r="D1865" s="4"/>
      <c r="H1865" s="1"/>
      <c r="I1865" s="1"/>
      <c r="Q1865" s="1"/>
      <c r="R1865" s="1"/>
      <c r="U1865" s="125"/>
      <c r="V1865" s="111"/>
      <c r="W1865" s="112"/>
      <c r="X1865" s="113"/>
      <c r="Z1865" s="1"/>
      <c r="AA1865" s="1"/>
    </row>
    <row r="1866">
      <c r="D1866" s="4"/>
      <c r="H1866" s="1"/>
      <c r="I1866" s="1"/>
      <c r="Q1866" s="1"/>
      <c r="R1866" s="1"/>
      <c r="U1866" s="125"/>
      <c r="V1866" s="111"/>
      <c r="W1866" s="112"/>
      <c r="X1866" s="113"/>
      <c r="Z1866" s="1"/>
      <c r="AA1866" s="1"/>
    </row>
    <row r="1867">
      <c r="D1867" s="4"/>
      <c r="H1867" s="1"/>
      <c r="I1867" s="1"/>
      <c r="Q1867" s="1"/>
      <c r="R1867" s="1"/>
      <c r="U1867" s="125"/>
      <c r="V1867" s="111"/>
      <c r="W1867" s="112"/>
      <c r="X1867" s="113"/>
      <c r="Z1867" s="1"/>
      <c r="AA1867" s="1"/>
    </row>
    <row r="1868">
      <c r="D1868" s="4"/>
      <c r="H1868" s="1"/>
      <c r="I1868" s="1"/>
      <c r="Q1868" s="1"/>
      <c r="R1868" s="1"/>
      <c r="U1868" s="125"/>
      <c r="V1868" s="111"/>
      <c r="W1868" s="112"/>
      <c r="X1868" s="113"/>
      <c r="Z1868" s="1"/>
      <c r="AA1868" s="1"/>
    </row>
    <row r="1869">
      <c r="D1869" s="4"/>
      <c r="H1869" s="1"/>
      <c r="I1869" s="1"/>
      <c r="Q1869" s="1"/>
      <c r="R1869" s="1"/>
      <c r="U1869" s="125"/>
      <c r="V1869" s="111"/>
      <c r="W1869" s="112"/>
      <c r="X1869" s="113"/>
      <c r="Z1869" s="1"/>
      <c r="AA1869" s="1"/>
    </row>
    <row r="1870">
      <c r="D1870" s="4"/>
      <c r="H1870" s="1"/>
      <c r="I1870" s="1"/>
      <c r="Q1870" s="1"/>
      <c r="R1870" s="1"/>
      <c r="U1870" s="125"/>
      <c r="V1870" s="111"/>
      <c r="W1870" s="112"/>
      <c r="X1870" s="113"/>
      <c r="Z1870" s="1"/>
      <c r="AA1870" s="1"/>
    </row>
    <row r="1871">
      <c r="D1871" s="4"/>
      <c r="H1871" s="1"/>
      <c r="I1871" s="1"/>
      <c r="Q1871" s="1"/>
      <c r="R1871" s="1"/>
      <c r="U1871" s="125"/>
      <c r="V1871" s="111"/>
      <c r="W1871" s="112"/>
      <c r="X1871" s="113"/>
      <c r="Z1871" s="1"/>
      <c r="AA1871" s="1"/>
    </row>
    <row r="1872">
      <c r="D1872" s="4"/>
      <c r="H1872" s="1"/>
      <c r="I1872" s="1"/>
      <c r="Q1872" s="1"/>
      <c r="R1872" s="1"/>
      <c r="U1872" s="125"/>
      <c r="V1872" s="111"/>
      <c r="W1872" s="112"/>
      <c r="X1872" s="113"/>
      <c r="Z1872" s="1"/>
      <c r="AA1872" s="1"/>
    </row>
    <row r="1873">
      <c r="D1873" s="4"/>
      <c r="H1873" s="1"/>
      <c r="I1873" s="1"/>
      <c r="Q1873" s="1"/>
      <c r="R1873" s="1"/>
      <c r="U1873" s="125"/>
      <c r="V1873" s="111"/>
      <c r="W1873" s="112"/>
      <c r="X1873" s="113"/>
      <c r="Z1873" s="1"/>
      <c r="AA1873" s="1"/>
    </row>
    <row r="1874">
      <c r="D1874" s="4"/>
      <c r="H1874" s="1"/>
      <c r="I1874" s="1"/>
      <c r="Q1874" s="1"/>
      <c r="R1874" s="1"/>
      <c r="U1874" s="125"/>
      <c r="V1874" s="111"/>
      <c r="W1874" s="112"/>
      <c r="X1874" s="113"/>
      <c r="Z1874" s="1"/>
      <c r="AA1874" s="1"/>
    </row>
    <row r="1875">
      <c r="D1875" s="4"/>
      <c r="H1875" s="1"/>
      <c r="I1875" s="1"/>
      <c r="Q1875" s="1"/>
      <c r="R1875" s="1"/>
      <c r="U1875" s="125"/>
      <c r="V1875" s="111"/>
      <c r="W1875" s="112"/>
      <c r="X1875" s="113"/>
      <c r="Z1875" s="1"/>
      <c r="AA1875" s="1"/>
    </row>
    <row r="1876">
      <c r="D1876" s="4"/>
      <c r="H1876" s="1"/>
      <c r="I1876" s="1"/>
      <c r="Q1876" s="1"/>
      <c r="R1876" s="1"/>
      <c r="U1876" s="125"/>
      <c r="V1876" s="111"/>
      <c r="W1876" s="112"/>
      <c r="X1876" s="113"/>
      <c r="Z1876" s="1"/>
      <c r="AA1876" s="1"/>
    </row>
    <row r="1877">
      <c r="D1877" s="4"/>
      <c r="H1877" s="1"/>
      <c r="I1877" s="1"/>
      <c r="Q1877" s="1"/>
      <c r="R1877" s="1"/>
      <c r="U1877" s="125"/>
      <c r="V1877" s="111"/>
      <c r="W1877" s="112"/>
      <c r="X1877" s="113"/>
      <c r="Z1877" s="1"/>
      <c r="AA1877" s="1"/>
    </row>
    <row r="1878">
      <c r="D1878" s="4"/>
      <c r="H1878" s="1"/>
      <c r="I1878" s="1"/>
      <c r="Q1878" s="1"/>
      <c r="R1878" s="1"/>
      <c r="U1878" s="125"/>
      <c r="V1878" s="111"/>
      <c r="W1878" s="112"/>
      <c r="X1878" s="113"/>
      <c r="Z1878" s="1"/>
      <c r="AA1878" s="1"/>
    </row>
    <row r="1879">
      <c r="D1879" s="4"/>
      <c r="H1879" s="1"/>
      <c r="I1879" s="1"/>
      <c r="Q1879" s="1"/>
      <c r="R1879" s="1"/>
      <c r="U1879" s="125"/>
      <c r="V1879" s="111"/>
      <c r="W1879" s="112"/>
      <c r="X1879" s="113"/>
      <c r="Z1879" s="1"/>
      <c r="AA1879" s="1"/>
    </row>
    <row r="1880">
      <c r="D1880" s="4"/>
      <c r="H1880" s="1"/>
      <c r="I1880" s="1"/>
      <c r="Q1880" s="1"/>
      <c r="R1880" s="1"/>
      <c r="U1880" s="125"/>
      <c r="V1880" s="111"/>
      <c r="W1880" s="112"/>
      <c r="X1880" s="113"/>
      <c r="Z1880" s="1"/>
      <c r="AA1880" s="1"/>
    </row>
    <row r="1881">
      <c r="D1881" s="4"/>
      <c r="H1881" s="1"/>
      <c r="I1881" s="1"/>
      <c r="Q1881" s="1"/>
      <c r="R1881" s="1"/>
      <c r="U1881" s="125"/>
      <c r="V1881" s="111"/>
      <c r="W1881" s="112"/>
      <c r="X1881" s="113"/>
      <c r="Z1881" s="1"/>
      <c r="AA1881" s="1"/>
    </row>
    <row r="1882">
      <c r="D1882" s="4"/>
      <c r="H1882" s="1"/>
      <c r="I1882" s="1"/>
      <c r="Q1882" s="1"/>
      <c r="R1882" s="1"/>
      <c r="U1882" s="125"/>
      <c r="V1882" s="111"/>
      <c r="W1882" s="112"/>
      <c r="X1882" s="113"/>
      <c r="Z1882" s="1"/>
      <c r="AA1882" s="1"/>
    </row>
    <row r="1883">
      <c r="D1883" s="4"/>
      <c r="H1883" s="1"/>
      <c r="I1883" s="1"/>
      <c r="Q1883" s="1"/>
      <c r="R1883" s="1"/>
      <c r="U1883" s="125"/>
      <c r="V1883" s="111"/>
      <c r="W1883" s="112"/>
      <c r="X1883" s="113"/>
      <c r="Z1883" s="1"/>
      <c r="AA1883" s="1"/>
    </row>
    <row r="1884">
      <c r="D1884" s="4"/>
      <c r="H1884" s="1"/>
      <c r="I1884" s="1"/>
      <c r="Q1884" s="1"/>
      <c r="R1884" s="1"/>
      <c r="U1884" s="125"/>
      <c r="V1884" s="111"/>
      <c r="W1884" s="112"/>
      <c r="X1884" s="113"/>
      <c r="Z1884" s="1"/>
      <c r="AA1884" s="1"/>
    </row>
    <row r="1885">
      <c r="D1885" s="4"/>
      <c r="H1885" s="1"/>
      <c r="I1885" s="1"/>
      <c r="Q1885" s="1"/>
      <c r="R1885" s="1"/>
      <c r="U1885" s="125"/>
      <c r="V1885" s="111"/>
      <c r="W1885" s="112"/>
      <c r="X1885" s="113"/>
      <c r="Z1885" s="1"/>
      <c r="AA1885" s="1"/>
    </row>
    <row r="1886">
      <c r="D1886" s="4"/>
      <c r="H1886" s="1"/>
      <c r="I1886" s="1"/>
      <c r="Q1886" s="1"/>
      <c r="R1886" s="1"/>
      <c r="U1886" s="125"/>
      <c r="V1886" s="111"/>
      <c r="W1886" s="112"/>
      <c r="X1886" s="113"/>
      <c r="Z1886" s="1"/>
      <c r="AA1886" s="1"/>
    </row>
    <row r="1887">
      <c r="D1887" s="4"/>
      <c r="H1887" s="1"/>
      <c r="I1887" s="1"/>
      <c r="Q1887" s="1"/>
      <c r="R1887" s="1"/>
      <c r="U1887" s="125"/>
      <c r="V1887" s="111"/>
      <c r="W1887" s="112"/>
      <c r="X1887" s="113"/>
      <c r="Z1887" s="1"/>
      <c r="AA1887" s="1"/>
    </row>
    <row r="1888">
      <c r="D1888" s="4"/>
      <c r="H1888" s="1"/>
      <c r="I1888" s="1"/>
      <c r="Q1888" s="1"/>
      <c r="R1888" s="1"/>
      <c r="U1888" s="125"/>
      <c r="V1888" s="111"/>
      <c r="W1888" s="112"/>
      <c r="X1888" s="113"/>
      <c r="Z1888" s="1"/>
      <c r="AA1888" s="1"/>
    </row>
    <row r="1889">
      <c r="D1889" s="4"/>
      <c r="H1889" s="1"/>
      <c r="I1889" s="1"/>
      <c r="Q1889" s="1"/>
      <c r="R1889" s="1"/>
      <c r="U1889" s="125"/>
      <c r="V1889" s="111"/>
      <c r="W1889" s="112"/>
      <c r="X1889" s="113"/>
      <c r="Z1889" s="1"/>
      <c r="AA1889" s="1"/>
    </row>
    <row r="1890">
      <c r="D1890" s="4"/>
      <c r="H1890" s="1"/>
      <c r="I1890" s="1"/>
      <c r="Q1890" s="1"/>
      <c r="R1890" s="1"/>
      <c r="U1890" s="125"/>
      <c r="V1890" s="111"/>
      <c r="W1890" s="112"/>
      <c r="X1890" s="113"/>
      <c r="Z1890" s="1"/>
      <c r="AA1890" s="1"/>
    </row>
    <row r="1891">
      <c r="D1891" s="4"/>
      <c r="H1891" s="1"/>
      <c r="I1891" s="1"/>
      <c r="Q1891" s="1"/>
      <c r="R1891" s="1"/>
      <c r="U1891" s="125"/>
      <c r="V1891" s="111"/>
      <c r="W1891" s="112"/>
      <c r="X1891" s="113"/>
      <c r="Z1891" s="1"/>
      <c r="AA1891" s="1"/>
    </row>
    <row r="1892">
      <c r="D1892" s="4"/>
      <c r="H1892" s="1"/>
      <c r="I1892" s="1"/>
      <c r="Q1892" s="1"/>
      <c r="R1892" s="1"/>
      <c r="U1892" s="125"/>
      <c r="V1892" s="111"/>
      <c r="W1892" s="112"/>
      <c r="X1892" s="113"/>
      <c r="Z1892" s="1"/>
      <c r="AA1892" s="1"/>
    </row>
    <row r="1893">
      <c r="D1893" s="4"/>
      <c r="H1893" s="1"/>
      <c r="I1893" s="1"/>
      <c r="Q1893" s="1"/>
      <c r="R1893" s="1"/>
      <c r="U1893" s="125"/>
      <c r="V1893" s="111"/>
      <c r="W1893" s="112"/>
      <c r="X1893" s="113"/>
      <c r="Z1893" s="1"/>
      <c r="AA1893" s="1"/>
    </row>
    <row r="1894">
      <c r="D1894" s="4"/>
      <c r="H1894" s="1"/>
      <c r="I1894" s="1"/>
      <c r="Q1894" s="1"/>
      <c r="R1894" s="1"/>
      <c r="U1894" s="125"/>
      <c r="V1894" s="111"/>
      <c r="W1894" s="112"/>
      <c r="X1894" s="113"/>
      <c r="Z1894" s="1"/>
      <c r="AA1894" s="1"/>
    </row>
    <row r="1895">
      <c r="D1895" s="4"/>
      <c r="H1895" s="1"/>
      <c r="I1895" s="1"/>
      <c r="Q1895" s="1"/>
      <c r="R1895" s="1"/>
      <c r="U1895" s="125"/>
      <c r="V1895" s="111"/>
      <c r="W1895" s="112"/>
      <c r="X1895" s="113"/>
      <c r="Z1895" s="1"/>
      <c r="AA1895" s="1"/>
    </row>
    <row r="1896">
      <c r="D1896" s="4"/>
      <c r="H1896" s="1"/>
      <c r="I1896" s="1"/>
      <c r="Q1896" s="1"/>
      <c r="R1896" s="1"/>
      <c r="U1896" s="125"/>
      <c r="V1896" s="111"/>
      <c r="W1896" s="112"/>
      <c r="X1896" s="113"/>
      <c r="Z1896" s="1"/>
      <c r="AA1896" s="1"/>
    </row>
    <row r="1897">
      <c r="D1897" s="4"/>
      <c r="H1897" s="1"/>
      <c r="I1897" s="1"/>
      <c r="Q1897" s="1"/>
      <c r="R1897" s="1"/>
      <c r="U1897" s="125"/>
      <c r="V1897" s="111"/>
      <c r="W1897" s="112"/>
      <c r="X1897" s="113"/>
      <c r="Z1897" s="1"/>
      <c r="AA1897" s="1"/>
    </row>
    <row r="1898">
      <c r="D1898" s="4"/>
      <c r="H1898" s="1"/>
      <c r="I1898" s="1"/>
      <c r="Q1898" s="1"/>
      <c r="R1898" s="1"/>
      <c r="U1898" s="125"/>
      <c r="V1898" s="111"/>
      <c r="W1898" s="112"/>
      <c r="X1898" s="113"/>
      <c r="Z1898" s="1"/>
      <c r="AA1898" s="1"/>
    </row>
    <row r="1899">
      <c r="D1899" s="4"/>
      <c r="H1899" s="1"/>
      <c r="I1899" s="1"/>
      <c r="Q1899" s="1"/>
      <c r="R1899" s="1"/>
      <c r="U1899" s="125"/>
      <c r="V1899" s="111"/>
      <c r="W1899" s="112"/>
      <c r="X1899" s="113"/>
      <c r="Z1899" s="1"/>
      <c r="AA1899" s="1"/>
    </row>
    <row r="1900">
      <c r="D1900" s="4"/>
      <c r="H1900" s="1"/>
      <c r="I1900" s="1"/>
      <c r="Q1900" s="1"/>
      <c r="R1900" s="1"/>
      <c r="U1900" s="125"/>
      <c r="V1900" s="111"/>
      <c r="W1900" s="112"/>
      <c r="X1900" s="113"/>
      <c r="Z1900" s="1"/>
      <c r="AA1900" s="1"/>
    </row>
    <row r="1901">
      <c r="D1901" s="4"/>
      <c r="H1901" s="1"/>
      <c r="I1901" s="1"/>
      <c r="Q1901" s="1"/>
      <c r="R1901" s="1"/>
      <c r="U1901" s="125"/>
      <c r="V1901" s="111"/>
      <c r="W1901" s="112"/>
      <c r="X1901" s="113"/>
      <c r="Z1901" s="1"/>
      <c r="AA1901" s="1"/>
    </row>
    <row r="1902">
      <c r="D1902" s="4"/>
      <c r="H1902" s="1"/>
      <c r="I1902" s="1"/>
      <c r="Q1902" s="1"/>
      <c r="R1902" s="1"/>
      <c r="U1902" s="125"/>
      <c r="V1902" s="111"/>
      <c r="W1902" s="112"/>
      <c r="X1902" s="113"/>
      <c r="Z1902" s="1"/>
      <c r="AA1902" s="1"/>
    </row>
    <row r="1903">
      <c r="D1903" s="4"/>
      <c r="H1903" s="1"/>
      <c r="I1903" s="1"/>
      <c r="Q1903" s="1"/>
      <c r="R1903" s="1"/>
      <c r="U1903" s="125"/>
      <c r="V1903" s="111"/>
      <c r="W1903" s="112"/>
      <c r="X1903" s="113"/>
      <c r="Z1903" s="1"/>
      <c r="AA1903" s="1"/>
    </row>
    <row r="1904">
      <c r="D1904" s="4"/>
      <c r="H1904" s="1"/>
      <c r="I1904" s="1"/>
      <c r="Q1904" s="1"/>
      <c r="R1904" s="1"/>
      <c r="U1904" s="125"/>
      <c r="V1904" s="111"/>
      <c r="W1904" s="112"/>
      <c r="X1904" s="113"/>
      <c r="Z1904" s="1"/>
      <c r="AA1904" s="1"/>
    </row>
    <row r="1905">
      <c r="D1905" s="4"/>
      <c r="H1905" s="1"/>
      <c r="I1905" s="1"/>
      <c r="Q1905" s="1"/>
      <c r="R1905" s="1"/>
      <c r="U1905" s="125"/>
      <c r="V1905" s="111"/>
      <c r="W1905" s="112"/>
      <c r="X1905" s="113"/>
      <c r="Z1905" s="1"/>
      <c r="AA1905" s="1"/>
    </row>
    <row r="1906">
      <c r="D1906" s="4"/>
      <c r="H1906" s="1"/>
      <c r="I1906" s="1"/>
      <c r="Q1906" s="1"/>
      <c r="R1906" s="1"/>
      <c r="U1906" s="125"/>
      <c r="V1906" s="111"/>
      <c r="W1906" s="112"/>
      <c r="X1906" s="113"/>
      <c r="Z1906" s="1"/>
      <c r="AA1906" s="1"/>
    </row>
    <row r="1907">
      <c r="D1907" s="4"/>
      <c r="H1907" s="1"/>
      <c r="I1907" s="1"/>
      <c r="Q1907" s="1"/>
      <c r="R1907" s="1"/>
      <c r="U1907" s="125"/>
      <c r="V1907" s="111"/>
      <c r="W1907" s="112"/>
      <c r="X1907" s="113"/>
      <c r="Z1907" s="1"/>
      <c r="AA1907" s="1"/>
    </row>
    <row r="1908">
      <c r="D1908" s="4"/>
      <c r="H1908" s="1"/>
      <c r="I1908" s="1"/>
      <c r="Q1908" s="1"/>
      <c r="R1908" s="1"/>
      <c r="U1908" s="125"/>
      <c r="V1908" s="111"/>
      <c r="W1908" s="112"/>
      <c r="X1908" s="113"/>
      <c r="Z1908" s="1"/>
      <c r="AA1908" s="1"/>
    </row>
    <row r="1909">
      <c r="D1909" s="4"/>
      <c r="H1909" s="1"/>
      <c r="I1909" s="1"/>
      <c r="Q1909" s="1"/>
      <c r="R1909" s="1"/>
      <c r="U1909" s="125"/>
      <c r="V1909" s="111"/>
      <c r="W1909" s="112"/>
      <c r="X1909" s="113"/>
      <c r="Z1909" s="1"/>
      <c r="AA1909" s="1"/>
    </row>
    <row r="1910">
      <c r="D1910" s="4"/>
      <c r="H1910" s="1"/>
      <c r="I1910" s="1"/>
      <c r="Q1910" s="1"/>
      <c r="R1910" s="1"/>
      <c r="U1910" s="125"/>
      <c r="V1910" s="111"/>
      <c r="W1910" s="112"/>
      <c r="X1910" s="113"/>
      <c r="Z1910" s="1"/>
      <c r="AA1910" s="1"/>
    </row>
    <row r="1911">
      <c r="D1911" s="4"/>
      <c r="H1911" s="1"/>
      <c r="I1911" s="1"/>
      <c r="Q1911" s="1"/>
      <c r="R1911" s="1"/>
      <c r="U1911" s="125"/>
      <c r="V1911" s="111"/>
      <c r="W1911" s="112"/>
      <c r="X1911" s="113"/>
      <c r="Z1911" s="1"/>
      <c r="AA1911" s="1"/>
    </row>
    <row r="1912">
      <c r="D1912" s="4"/>
      <c r="H1912" s="1"/>
      <c r="I1912" s="1"/>
      <c r="Q1912" s="1"/>
      <c r="R1912" s="1"/>
      <c r="U1912" s="125"/>
      <c r="V1912" s="111"/>
      <c r="W1912" s="112"/>
      <c r="X1912" s="113"/>
      <c r="Z1912" s="1"/>
      <c r="AA1912" s="1"/>
    </row>
    <row r="1913">
      <c r="D1913" s="4"/>
      <c r="H1913" s="1"/>
      <c r="I1913" s="1"/>
      <c r="Q1913" s="1"/>
      <c r="R1913" s="1"/>
      <c r="U1913" s="125"/>
      <c r="V1913" s="111"/>
      <c r="W1913" s="112"/>
      <c r="X1913" s="113"/>
      <c r="Z1913" s="1"/>
      <c r="AA1913" s="1"/>
    </row>
    <row r="1914">
      <c r="D1914" s="4"/>
      <c r="H1914" s="1"/>
      <c r="I1914" s="1"/>
      <c r="Q1914" s="1"/>
      <c r="R1914" s="1"/>
      <c r="U1914" s="125"/>
      <c r="V1914" s="111"/>
      <c r="W1914" s="112"/>
      <c r="X1914" s="113"/>
      <c r="Z1914" s="1"/>
      <c r="AA1914" s="1"/>
    </row>
    <row r="1915">
      <c r="D1915" s="4"/>
      <c r="H1915" s="1"/>
      <c r="I1915" s="1"/>
      <c r="Q1915" s="1"/>
      <c r="R1915" s="1"/>
      <c r="U1915" s="125"/>
      <c r="V1915" s="111"/>
      <c r="W1915" s="112"/>
      <c r="X1915" s="113"/>
      <c r="Z1915" s="1"/>
      <c r="AA1915" s="1"/>
    </row>
    <row r="1916">
      <c r="D1916" s="4"/>
      <c r="H1916" s="1"/>
      <c r="I1916" s="1"/>
      <c r="Q1916" s="1"/>
      <c r="R1916" s="1"/>
      <c r="U1916" s="125"/>
      <c r="V1916" s="111"/>
      <c r="W1916" s="112"/>
      <c r="X1916" s="113"/>
      <c r="Z1916" s="1"/>
      <c r="AA1916" s="1"/>
    </row>
    <row r="1917">
      <c r="D1917" s="4"/>
      <c r="H1917" s="1"/>
      <c r="I1917" s="1"/>
      <c r="Q1917" s="1"/>
      <c r="R1917" s="1"/>
      <c r="U1917" s="125"/>
      <c r="V1917" s="111"/>
      <c r="W1917" s="112"/>
      <c r="X1917" s="113"/>
      <c r="Z1917" s="1"/>
      <c r="AA1917" s="1"/>
    </row>
    <row r="1918">
      <c r="D1918" s="4"/>
      <c r="H1918" s="1"/>
      <c r="I1918" s="1"/>
      <c r="Q1918" s="1"/>
      <c r="R1918" s="1"/>
      <c r="U1918" s="125"/>
      <c r="V1918" s="111"/>
      <c r="W1918" s="112"/>
      <c r="X1918" s="113"/>
      <c r="Z1918" s="1"/>
      <c r="AA1918" s="1"/>
    </row>
    <row r="1919">
      <c r="D1919" s="4"/>
      <c r="H1919" s="1"/>
      <c r="I1919" s="1"/>
      <c r="Q1919" s="1"/>
      <c r="R1919" s="1"/>
      <c r="U1919" s="125"/>
      <c r="V1919" s="111"/>
      <c r="W1919" s="112"/>
      <c r="X1919" s="113"/>
      <c r="Z1919" s="1"/>
      <c r="AA1919" s="1"/>
    </row>
    <row r="1920">
      <c r="D1920" s="4"/>
      <c r="H1920" s="1"/>
      <c r="I1920" s="1"/>
      <c r="Q1920" s="1"/>
      <c r="R1920" s="1"/>
      <c r="U1920" s="125"/>
      <c r="V1920" s="111"/>
      <c r="W1920" s="112"/>
      <c r="X1920" s="113"/>
      <c r="Z1920" s="1"/>
      <c r="AA1920" s="1"/>
    </row>
    <row r="1921">
      <c r="D1921" s="4"/>
      <c r="H1921" s="1"/>
      <c r="I1921" s="1"/>
      <c r="Q1921" s="1"/>
      <c r="R1921" s="1"/>
      <c r="U1921" s="125"/>
      <c r="V1921" s="111"/>
      <c r="W1921" s="112"/>
      <c r="X1921" s="113"/>
      <c r="Z1921" s="1"/>
      <c r="AA1921" s="1"/>
    </row>
    <row r="1922">
      <c r="D1922" s="4"/>
      <c r="H1922" s="1"/>
      <c r="I1922" s="1"/>
      <c r="Q1922" s="1"/>
      <c r="R1922" s="1"/>
      <c r="U1922" s="125"/>
      <c r="V1922" s="111"/>
      <c r="W1922" s="112"/>
      <c r="X1922" s="113"/>
      <c r="Z1922" s="1"/>
      <c r="AA1922" s="1"/>
    </row>
    <row r="1923">
      <c r="D1923" s="4"/>
      <c r="H1923" s="1"/>
      <c r="I1923" s="1"/>
      <c r="Q1923" s="1"/>
      <c r="R1923" s="1"/>
      <c r="U1923" s="125"/>
      <c r="V1923" s="111"/>
      <c r="W1923" s="112"/>
      <c r="X1923" s="113"/>
      <c r="Z1923" s="1"/>
      <c r="AA1923" s="1"/>
    </row>
    <row r="1924">
      <c r="D1924" s="4"/>
      <c r="H1924" s="1"/>
      <c r="I1924" s="1"/>
      <c r="Q1924" s="1"/>
      <c r="R1924" s="1"/>
      <c r="U1924" s="125"/>
      <c r="V1924" s="111"/>
      <c r="W1924" s="112"/>
      <c r="X1924" s="113"/>
      <c r="Z1924" s="1"/>
      <c r="AA1924" s="1"/>
    </row>
    <row r="1925">
      <c r="D1925" s="4"/>
      <c r="H1925" s="1"/>
      <c r="I1925" s="1"/>
      <c r="Q1925" s="1"/>
      <c r="R1925" s="1"/>
      <c r="U1925" s="125"/>
      <c r="V1925" s="111"/>
      <c r="W1925" s="112"/>
      <c r="X1925" s="113"/>
      <c r="Z1925" s="1"/>
      <c r="AA1925" s="1"/>
    </row>
    <row r="1926">
      <c r="D1926" s="4"/>
      <c r="H1926" s="1"/>
      <c r="I1926" s="1"/>
      <c r="Q1926" s="1"/>
      <c r="R1926" s="1"/>
      <c r="U1926" s="125"/>
      <c r="V1926" s="111"/>
      <c r="W1926" s="112"/>
      <c r="X1926" s="113"/>
      <c r="Z1926" s="1"/>
      <c r="AA1926" s="1"/>
    </row>
    <row r="1927">
      <c r="D1927" s="4"/>
      <c r="H1927" s="1"/>
      <c r="I1927" s="1"/>
      <c r="Q1927" s="1"/>
      <c r="R1927" s="1"/>
      <c r="U1927" s="125"/>
      <c r="V1927" s="111"/>
      <c r="W1927" s="112"/>
      <c r="X1927" s="113"/>
      <c r="Z1927" s="1"/>
      <c r="AA1927" s="1"/>
    </row>
    <row r="1928">
      <c r="D1928" s="4"/>
      <c r="H1928" s="1"/>
      <c r="I1928" s="1"/>
      <c r="Q1928" s="1"/>
      <c r="R1928" s="1"/>
      <c r="U1928" s="125"/>
      <c r="V1928" s="111"/>
      <c r="W1928" s="112"/>
      <c r="X1928" s="113"/>
      <c r="Z1928" s="1"/>
      <c r="AA1928" s="1"/>
    </row>
    <row r="1929">
      <c r="D1929" s="4"/>
      <c r="H1929" s="1"/>
      <c r="I1929" s="1"/>
      <c r="Q1929" s="1"/>
      <c r="R1929" s="1"/>
      <c r="U1929" s="125"/>
      <c r="V1929" s="111"/>
      <c r="W1929" s="112"/>
      <c r="X1929" s="113"/>
      <c r="Z1929" s="1"/>
      <c r="AA1929" s="1"/>
    </row>
    <row r="1930">
      <c r="D1930" s="4"/>
      <c r="H1930" s="1"/>
      <c r="I1930" s="1"/>
      <c r="Q1930" s="1"/>
      <c r="R1930" s="1"/>
      <c r="U1930" s="125"/>
      <c r="V1930" s="111"/>
      <c r="W1930" s="112"/>
      <c r="X1930" s="113"/>
      <c r="Z1930" s="1"/>
      <c r="AA1930" s="1"/>
    </row>
    <row r="1931">
      <c r="D1931" s="4"/>
      <c r="H1931" s="1"/>
      <c r="I1931" s="1"/>
      <c r="Q1931" s="1"/>
      <c r="R1931" s="1"/>
      <c r="U1931" s="125"/>
      <c r="V1931" s="111"/>
      <c r="W1931" s="112"/>
      <c r="X1931" s="113"/>
      <c r="Z1931" s="1"/>
      <c r="AA1931" s="1"/>
    </row>
    <row r="1932">
      <c r="D1932" s="4"/>
      <c r="H1932" s="1"/>
      <c r="I1932" s="1"/>
      <c r="Q1932" s="1"/>
      <c r="R1932" s="1"/>
      <c r="U1932" s="125"/>
      <c r="V1932" s="111"/>
      <c r="W1932" s="112"/>
      <c r="X1932" s="113"/>
      <c r="Z1932" s="1"/>
      <c r="AA1932" s="1"/>
    </row>
    <row r="1933">
      <c r="D1933" s="4"/>
      <c r="H1933" s="1"/>
      <c r="I1933" s="1"/>
      <c r="Q1933" s="1"/>
      <c r="R1933" s="1"/>
      <c r="U1933" s="125"/>
      <c r="V1933" s="111"/>
      <c r="W1933" s="112"/>
      <c r="X1933" s="113"/>
      <c r="Z1933" s="1"/>
      <c r="AA1933" s="1"/>
    </row>
    <row r="1934">
      <c r="D1934" s="4"/>
      <c r="H1934" s="1"/>
      <c r="I1934" s="1"/>
      <c r="Q1934" s="1"/>
      <c r="R1934" s="1"/>
      <c r="U1934" s="125"/>
      <c r="V1934" s="111"/>
      <c r="W1934" s="112"/>
      <c r="X1934" s="113"/>
      <c r="Z1934" s="1"/>
      <c r="AA1934" s="1"/>
    </row>
    <row r="1935">
      <c r="D1935" s="4"/>
      <c r="H1935" s="1"/>
      <c r="I1935" s="1"/>
      <c r="Q1935" s="1"/>
      <c r="R1935" s="1"/>
      <c r="U1935" s="125"/>
      <c r="V1935" s="111"/>
      <c r="W1935" s="112"/>
      <c r="X1935" s="113"/>
      <c r="Z1935" s="1"/>
      <c r="AA1935" s="1"/>
    </row>
    <row r="1936">
      <c r="D1936" s="4"/>
      <c r="H1936" s="1"/>
      <c r="I1936" s="1"/>
      <c r="Q1936" s="1"/>
      <c r="R1936" s="1"/>
      <c r="U1936" s="125"/>
      <c r="V1936" s="111"/>
      <c r="W1936" s="112"/>
      <c r="X1936" s="113"/>
      <c r="Z1936" s="1"/>
      <c r="AA1936" s="1"/>
    </row>
    <row r="1937">
      <c r="D1937" s="4"/>
      <c r="H1937" s="1"/>
      <c r="I1937" s="1"/>
      <c r="Q1937" s="1"/>
      <c r="R1937" s="1"/>
      <c r="U1937" s="125"/>
      <c r="V1937" s="111"/>
      <c r="W1937" s="112"/>
      <c r="X1937" s="113"/>
      <c r="Z1937" s="1"/>
      <c r="AA1937" s="1"/>
    </row>
    <row r="1938">
      <c r="D1938" s="4"/>
      <c r="H1938" s="1"/>
      <c r="I1938" s="1"/>
      <c r="Q1938" s="1"/>
      <c r="R1938" s="1"/>
      <c r="U1938" s="125"/>
      <c r="V1938" s="111"/>
      <c r="W1938" s="112"/>
      <c r="X1938" s="113"/>
      <c r="Z1938" s="1"/>
      <c r="AA1938" s="1"/>
    </row>
    <row r="1939">
      <c r="D1939" s="4"/>
      <c r="H1939" s="1"/>
      <c r="I1939" s="1"/>
      <c r="Q1939" s="1"/>
      <c r="R1939" s="1"/>
      <c r="U1939" s="125"/>
      <c r="V1939" s="111"/>
      <c r="W1939" s="112"/>
      <c r="X1939" s="113"/>
      <c r="Z1939" s="1"/>
      <c r="AA1939" s="1"/>
    </row>
    <row r="1940">
      <c r="D1940" s="4"/>
      <c r="H1940" s="1"/>
      <c r="I1940" s="1"/>
      <c r="Q1940" s="1"/>
      <c r="R1940" s="1"/>
      <c r="U1940" s="125"/>
      <c r="V1940" s="111"/>
      <c r="W1940" s="112"/>
      <c r="X1940" s="113"/>
      <c r="Z1940" s="1"/>
      <c r="AA1940" s="1"/>
    </row>
    <row r="1941">
      <c r="D1941" s="4"/>
      <c r="H1941" s="1"/>
      <c r="I1941" s="1"/>
      <c r="Q1941" s="1"/>
      <c r="R1941" s="1"/>
      <c r="U1941" s="125"/>
      <c r="V1941" s="111"/>
      <c r="W1941" s="112"/>
      <c r="X1941" s="113"/>
      <c r="Z1941" s="1"/>
      <c r="AA1941" s="1"/>
    </row>
    <row r="1942">
      <c r="D1942" s="4"/>
      <c r="H1942" s="1"/>
      <c r="I1942" s="1"/>
      <c r="Q1942" s="1"/>
      <c r="R1942" s="1"/>
      <c r="U1942" s="125"/>
      <c r="V1942" s="111"/>
      <c r="W1942" s="112"/>
      <c r="X1942" s="113"/>
      <c r="Z1942" s="1"/>
      <c r="AA1942" s="1"/>
    </row>
    <row r="1943">
      <c r="D1943" s="4"/>
      <c r="H1943" s="1"/>
      <c r="I1943" s="1"/>
      <c r="Q1943" s="1"/>
      <c r="R1943" s="1"/>
      <c r="U1943" s="125"/>
      <c r="V1943" s="111"/>
      <c r="W1943" s="112"/>
      <c r="X1943" s="113"/>
      <c r="Z1943" s="1"/>
      <c r="AA1943" s="1"/>
    </row>
    <row r="1944">
      <c r="D1944" s="4"/>
      <c r="H1944" s="1"/>
      <c r="I1944" s="1"/>
      <c r="Q1944" s="1"/>
      <c r="R1944" s="1"/>
      <c r="U1944" s="125"/>
      <c r="V1944" s="111"/>
      <c r="W1944" s="112"/>
      <c r="X1944" s="113"/>
      <c r="Z1944" s="1"/>
      <c r="AA1944" s="1"/>
    </row>
    <row r="1945">
      <c r="D1945" s="4"/>
      <c r="H1945" s="1"/>
      <c r="I1945" s="1"/>
      <c r="Q1945" s="1"/>
      <c r="R1945" s="1"/>
      <c r="U1945" s="125"/>
      <c r="V1945" s="111"/>
      <c r="W1945" s="112"/>
      <c r="X1945" s="113"/>
      <c r="Z1945" s="1"/>
      <c r="AA1945" s="1"/>
    </row>
    <row r="1946">
      <c r="D1946" s="4"/>
      <c r="H1946" s="1"/>
      <c r="I1946" s="1"/>
      <c r="Q1946" s="1"/>
      <c r="R1946" s="1"/>
      <c r="U1946" s="125"/>
      <c r="V1946" s="111"/>
      <c r="W1946" s="112"/>
      <c r="X1946" s="113"/>
      <c r="Z1946" s="1"/>
      <c r="AA1946" s="1"/>
    </row>
    <row r="1947">
      <c r="D1947" s="4"/>
      <c r="H1947" s="1"/>
      <c r="I1947" s="1"/>
      <c r="Q1947" s="1"/>
      <c r="R1947" s="1"/>
      <c r="U1947" s="125"/>
      <c r="V1947" s="111"/>
      <c r="W1947" s="112"/>
      <c r="X1947" s="113"/>
      <c r="Z1947" s="1"/>
      <c r="AA1947" s="1"/>
    </row>
    <row r="1948">
      <c r="D1948" s="4"/>
      <c r="H1948" s="1"/>
      <c r="I1948" s="1"/>
      <c r="Q1948" s="1"/>
      <c r="R1948" s="1"/>
      <c r="U1948" s="125"/>
      <c r="V1948" s="111"/>
      <c r="W1948" s="112"/>
      <c r="X1948" s="113"/>
      <c r="Z1948" s="1"/>
      <c r="AA1948" s="1"/>
    </row>
    <row r="1949">
      <c r="D1949" s="4"/>
      <c r="H1949" s="1"/>
      <c r="I1949" s="1"/>
      <c r="Q1949" s="1"/>
      <c r="R1949" s="1"/>
      <c r="U1949" s="125"/>
      <c r="V1949" s="111"/>
      <c r="W1949" s="112"/>
      <c r="X1949" s="113"/>
      <c r="Z1949" s="1"/>
      <c r="AA1949" s="1"/>
    </row>
    <row r="1950">
      <c r="D1950" s="4"/>
      <c r="H1950" s="1"/>
      <c r="I1950" s="1"/>
      <c r="Q1950" s="1"/>
      <c r="R1950" s="1"/>
      <c r="U1950" s="125"/>
      <c r="V1950" s="111"/>
      <c r="W1950" s="112"/>
      <c r="X1950" s="113"/>
      <c r="Z1950" s="1"/>
      <c r="AA1950" s="1"/>
    </row>
    <row r="1951">
      <c r="D1951" s="4"/>
      <c r="H1951" s="1"/>
      <c r="I1951" s="1"/>
      <c r="Q1951" s="1"/>
      <c r="R1951" s="1"/>
      <c r="U1951" s="125"/>
      <c r="V1951" s="111"/>
      <c r="W1951" s="112"/>
      <c r="X1951" s="113"/>
      <c r="Z1951" s="1"/>
      <c r="AA1951" s="1"/>
    </row>
    <row r="1952">
      <c r="D1952" s="4"/>
      <c r="H1952" s="1"/>
      <c r="I1952" s="1"/>
      <c r="Q1952" s="1"/>
      <c r="R1952" s="1"/>
      <c r="U1952" s="125"/>
      <c r="V1952" s="111"/>
      <c r="W1952" s="112"/>
      <c r="X1952" s="113"/>
      <c r="Z1952" s="1"/>
      <c r="AA1952" s="1"/>
    </row>
    <row r="1953">
      <c r="D1953" s="4"/>
      <c r="H1953" s="1"/>
      <c r="I1953" s="1"/>
      <c r="Q1953" s="1"/>
      <c r="R1953" s="1"/>
      <c r="U1953" s="125"/>
      <c r="V1953" s="111"/>
      <c r="W1953" s="112"/>
      <c r="X1953" s="113"/>
      <c r="Z1953" s="1"/>
      <c r="AA1953" s="1"/>
    </row>
    <row r="1954">
      <c r="D1954" s="4"/>
      <c r="H1954" s="1"/>
      <c r="I1954" s="1"/>
      <c r="Q1954" s="1"/>
      <c r="R1954" s="1"/>
      <c r="U1954" s="125"/>
      <c r="V1954" s="111"/>
      <c r="W1954" s="112"/>
      <c r="X1954" s="113"/>
      <c r="Z1954" s="1"/>
      <c r="AA1954" s="1"/>
    </row>
    <row r="1955">
      <c r="D1955" s="4"/>
      <c r="H1955" s="1"/>
      <c r="I1955" s="1"/>
      <c r="Q1955" s="1"/>
      <c r="R1955" s="1"/>
      <c r="U1955" s="125"/>
      <c r="V1955" s="111"/>
      <c r="W1955" s="112"/>
      <c r="X1955" s="113"/>
      <c r="Z1955" s="1"/>
      <c r="AA1955" s="1"/>
    </row>
    <row r="1956">
      <c r="D1956" s="4"/>
      <c r="H1956" s="1"/>
      <c r="I1956" s="1"/>
      <c r="Q1956" s="1"/>
      <c r="R1956" s="1"/>
      <c r="U1956" s="125"/>
      <c r="V1956" s="111"/>
      <c r="W1956" s="112"/>
      <c r="X1956" s="113"/>
      <c r="Z1956" s="1"/>
      <c r="AA1956" s="1"/>
    </row>
    <row r="1957">
      <c r="D1957" s="4"/>
      <c r="H1957" s="1"/>
      <c r="I1957" s="1"/>
      <c r="Q1957" s="1"/>
      <c r="R1957" s="1"/>
      <c r="U1957" s="125"/>
      <c r="V1957" s="111"/>
      <c r="W1957" s="112"/>
      <c r="X1957" s="113"/>
      <c r="Z1957" s="1"/>
      <c r="AA1957" s="1"/>
    </row>
    <row r="1958">
      <c r="D1958" s="4"/>
      <c r="H1958" s="1"/>
      <c r="I1958" s="1"/>
      <c r="Q1958" s="1"/>
      <c r="R1958" s="1"/>
      <c r="U1958" s="125"/>
      <c r="V1958" s="111"/>
      <c r="W1958" s="112"/>
      <c r="X1958" s="113"/>
      <c r="Z1958" s="1"/>
      <c r="AA1958" s="1"/>
    </row>
    <row r="1959">
      <c r="D1959" s="4"/>
      <c r="H1959" s="1"/>
      <c r="I1959" s="1"/>
      <c r="Q1959" s="1"/>
      <c r="R1959" s="1"/>
      <c r="U1959" s="125"/>
      <c r="V1959" s="111"/>
      <c r="W1959" s="112"/>
      <c r="X1959" s="113"/>
      <c r="Z1959" s="1"/>
      <c r="AA1959" s="1"/>
    </row>
    <row r="1960">
      <c r="D1960" s="4"/>
      <c r="H1960" s="1"/>
      <c r="I1960" s="1"/>
      <c r="Q1960" s="1"/>
      <c r="R1960" s="1"/>
      <c r="U1960" s="125"/>
      <c r="V1960" s="111"/>
      <c r="W1960" s="112"/>
      <c r="X1960" s="113"/>
      <c r="Z1960" s="1"/>
      <c r="AA1960" s="1"/>
    </row>
    <row r="1961">
      <c r="D1961" s="4"/>
      <c r="H1961" s="1"/>
      <c r="I1961" s="1"/>
      <c r="Q1961" s="1"/>
      <c r="R1961" s="1"/>
      <c r="U1961" s="125"/>
      <c r="V1961" s="111"/>
      <c r="W1961" s="112"/>
      <c r="X1961" s="113"/>
      <c r="Z1961" s="1"/>
      <c r="AA1961" s="1"/>
    </row>
    <row r="1962">
      <c r="D1962" s="4"/>
      <c r="H1962" s="1"/>
      <c r="I1962" s="1"/>
      <c r="Q1962" s="1"/>
      <c r="R1962" s="1"/>
      <c r="U1962" s="125"/>
      <c r="V1962" s="111"/>
      <c r="W1962" s="112"/>
      <c r="X1962" s="113"/>
      <c r="Z1962" s="1"/>
      <c r="AA1962" s="1"/>
    </row>
    <row r="1963">
      <c r="D1963" s="4"/>
      <c r="H1963" s="1"/>
      <c r="I1963" s="1"/>
      <c r="Q1963" s="1"/>
      <c r="R1963" s="1"/>
      <c r="U1963" s="125"/>
      <c r="V1963" s="111"/>
      <c r="W1963" s="112"/>
      <c r="X1963" s="113"/>
      <c r="Z1963" s="1"/>
      <c r="AA1963" s="1"/>
    </row>
    <row r="1964">
      <c r="D1964" s="4"/>
      <c r="H1964" s="1"/>
      <c r="I1964" s="1"/>
      <c r="Q1964" s="1"/>
      <c r="R1964" s="1"/>
      <c r="U1964" s="125"/>
      <c r="V1964" s="111"/>
      <c r="W1964" s="112"/>
      <c r="X1964" s="113"/>
      <c r="Z1964" s="1"/>
      <c r="AA1964" s="1"/>
    </row>
    <row r="1965">
      <c r="D1965" s="4"/>
      <c r="H1965" s="1"/>
      <c r="I1965" s="1"/>
      <c r="Q1965" s="1"/>
      <c r="R1965" s="1"/>
      <c r="U1965" s="125"/>
      <c r="V1965" s="111"/>
      <c r="W1965" s="112"/>
      <c r="X1965" s="113"/>
      <c r="Z1965" s="1"/>
      <c r="AA1965" s="1"/>
    </row>
    <row r="1966">
      <c r="D1966" s="4"/>
      <c r="H1966" s="1"/>
      <c r="I1966" s="1"/>
      <c r="Q1966" s="1"/>
      <c r="R1966" s="1"/>
      <c r="U1966" s="125"/>
      <c r="V1966" s="111"/>
      <c r="W1966" s="112"/>
      <c r="X1966" s="113"/>
      <c r="Z1966" s="1"/>
      <c r="AA1966" s="1"/>
    </row>
    <row r="1967">
      <c r="D1967" s="4"/>
      <c r="H1967" s="1"/>
      <c r="I1967" s="1"/>
      <c r="Q1967" s="1"/>
      <c r="R1967" s="1"/>
      <c r="U1967" s="125"/>
      <c r="V1967" s="111"/>
      <c r="W1967" s="112"/>
      <c r="X1967" s="113"/>
      <c r="Z1967" s="1"/>
      <c r="AA1967" s="1"/>
    </row>
    <row r="1968">
      <c r="D1968" s="4"/>
      <c r="H1968" s="1"/>
      <c r="I1968" s="1"/>
      <c r="Q1968" s="1"/>
      <c r="R1968" s="1"/>
      <c r="U1968" s="125"/>
      <c r="V1968" s="111"/>
      <c r="W1968" s="112"/>
      <c r="X1968" s="113"/>
      <c r="Z1968" s="1"/>
      <c r="AA1968" s="1"/>
    </row>
    <row r="1969">
      <c r="D1969" s="4"/>
      <c r="H1969" s="1"/>
      <c r="I1969" s="1"/>
      <c r="Q1969" s="1"/>
      <c r="R1969" s="1"/>
      <c r="U1969" s="125"/>
      <c r="V1969" s="111"/>
      <c r="W1969" s="112"/>
      <c r="X1969" s="113"/>
      <c r="Z1969" s="1"/>
      <c r="AA1969" s="1"/>
    </row>
    <row r="1970">
      <c r="D1970" s="4"/>
      <c r="H1970" s="1"/>
      <c r="I1970" s="1"/>
      <c r="Q1970" s="1"/>
      <c r="R1970" s="1"/>
      <c r="U1970" s="125"/>
      <c r="V1970" s="111"/>
      <c r="W1970" s="112"/>
      <c r="X1970" s="113"/>
      <c r="Z1970" s="1"/>
      <c r="AA1970" s="1"/>
    </row>
    <row r="1971">
      <c r="D1971" s="4"/>
      <c r="H1971" s="1"/>
      <c r="I1971" s="1"/>
      <c r="Q1971" s="1"/>
      <c r="R1971" s="1"/>
      <c r="U1971" s="125"/>
      <c r="V1971" s="111"/>
      <c r="W1971" s="112"/>
      <c r="X1971" s="113"/>
      <c r="Z1971" s="1"/>
      <c r="AA1971" s="1"/>
    </row>
    <row r="1972">
      <c r="D1972" s="4"/>
      <c r="H1972" s="1"/>
      <c r="I1972" s="1"/>
      <c r="Q1972" s="1"/>
      <c r="R1972" s="1"/>
      <c r="U1972" s="125"/>
      <c r="V1972" s="111"/>
      <c r="W1972" s="112"/>
      <c r="X1972" s="113"/>
      <c r="Z1972" s="1"/>
      <c r="AA1972" s="1"/>
    </row>
    <row r="1973">
      <c r="D1973" s="4"/>
      <c r="H1973" s="1"/>
      <c r="I1973" s="1"/>
      <c r="Q1973" s="1"/>
      <c r="R1973" s="1"/>
      <c r="U1973" s="125"/>
      <c r="V1973" s="111"/>
      <c r="W1973" s="112"/>
      <c r="X1973" s="113"/>
      <c r="Z1973" s="1"/>
      <c r="AA1973" s="1"/>
    </row>
    <row r="1974">
      <c r="D1974" s="4"/>
      <c r="H1974" s="1"/>
      <c r="I1974" s="1"/>
      <c r="Q1974" s="1"/>
      <c r="R1974" s="1"/>
      <c r="U1974" s="125"/>
      <c r="V1974" s="111"/>
      <c r="W1974" s="112"/>
      <c r="X1974" s="113"/>
      <c r="Z1974" s="1"/>
      <c r="AA1974" s="1"/>
    </row>
    <row r="1975">
      <c r="D1975" s="4"/>
      <c r="H1975" s="1"/>
      <c r="I1975" s="1"/>
      <c r="Q1975" s="1"/>
      <c r="R1975" s="1"/>
      <c r="U1975" s="125"/>
      <c r="V1975" s="111"/>
      <c r="W1975" s="112"/>
      <c r="X1975" s="113"/>
      <c r="Z1975" s="1"/>
      <c r="AA1975" s="1"/>
    </row>
    <row r="1976">
      <c r="D1976" s="4"/>
      <c r="H1976" s="1"/>
      <c r="I1976" s="1"/>
      <c r="Q1976" s="1"/>
      <c r="R1976" s="1"/>
      <c r="U1976" s="125"/>
      <c r="V1976" s="111"/>
      <c r="W1976" s="112"/>
      <c r="X1976" s="113"/>
      <c r="Z1976" s="1"/>
      <c r="AA1976" s="1"/>
    </row>
    <row r="1977">
      <c r="D1977" s="4"/>
      <c r="H1977" s="1"/>
      <c r="I1977" s="1"/>
      <c r="Q1977" s="1"/>
      <c r="R1977" s="1"/>
      <c r="U1977" s="125"/>
      <c r="V1977" s="111"/>
      <c r="W1977" s="112"/>
      <c r="X1977" s="113"/>
      <c r="Z1977" s="1"/>
      <c r="AA1977" s="1"/>
    </row>
    <row r="1978">
      <c r="D1978" s="4"/>
      <c r="H1978" s="1"/>
      <c r="I1978" s="1"/>
      <c r="Q1978" s="1"/>
      <c r="R1978" s="1"/>
      <c r="U1978" s="125"/>
      <c r="V1978" s="111"/>
      <c r="W1978" s="112"/>
      <c r="X1978" s="113"/>
      <c r="Z1978" s="1"/>
      <c r="AA1978" s="1"/>
    </row>
    <row r="1979">
      <c r="D1979" s="4"/>
      <c r="H1979" s="1"/>
      <c r="I1979" s="1"/>
      <c r="Q1979" s="1"/>
      <c r="R1979" s="1"/>
      <c r="U1979" s="125"/>
      <c r="V1979" s="111"/>
      <c r="W1979" s="112"/>
      <c r="X1979" s="113"/>
      <c r="Z1979" s="1"/>
      <c r="AA1979" s="1"/>
    </row>
    <row r="1980">
      <c r="D1980" s="4"/>
      <c r="H1980" s="1"/>
      <c r="I1980" s="1"/>
      <c r="Q1980" s="1"/>
      <c r="R1980" s="1"/>
      <c r="U1980" s="125"/>
      <c r="V1980" s="111"/>
      <c r="W1980" s="112"/>
      <c r="X1980" s="113"/>
      <c r="Z1980" s="1"/>
      <c r="AA1980" s="1"/>
    </row>
    <row r="1981">
      <c r="D1981" s="4"/>
      <c r="H1981" s="1"/>
      <c r="I1981" s="1"/>
      <c r="Q1981" s="1"/>
      <c r="R1981" s="1"/>
      <c r="U1981" s="125"/>
      <c r="V1981" s="111"/>
      <c r="W1981" s="112"/>
      <c r="X1981" s="113"/>
      <c r="Z1981" s="1"/>
      <c r="AA1981" s="1"/>
    </row>
    <row r="1982">
      <c r="D1982" s="4"/>
      <c r="H1982" s="1"/>
      <c r="I1982" s="1"/>
      <c r="Q1982" s="1"/>
      <c r="R1982" s="1"/>
      <c r="U1982" s="125"/>
      <c r="V1982" s="111"/>
      <c r="W1982" s="112"/>
      <c r="X1982" s="113"/>
      <c r="Z1982" s="1"/>
      <c r="AA1982" s="1"/>
    </row>
    <row r="1983">
      <c r="D1983" s="4"/>
      <c r="H1983" s="1"/>
      <c r="I1983" s="1"/>
      <c r="Q1983" s="1"/>
      <c r="R1983" s="1"/>
      <c r="U1983" s="125"/>
      <c r="V1983" s="111"/>
      <c r="W1983" s="112"/>
      <c r="X1983" s="113"/>
      <c r="Z1983" s="1"/>
      <c r="AA1983" s="1"/>
    </row>
    <row r="1984">
      <c r="D1984" s="4"/>
      <c r="H1984" s="1"/>
      <c r="I1984" s="1"/>
      <c r="Q1984" s="1"/>
      <c r="R1984" s="1"/>
      <c r="U1984" s="125"/>
      <c r="V1984" s="111"/>
      <c r="W1984" s="112"/>
      <c r="X1984" s="113"/>
      <c r="Z1984" s="1"/>
      <c r="AA1984" s="1"/>
    </row>
    <row r="1985">
      <c r="D1985" s="4"/>
      <c r="H1985" s="1"/>
      <c r="I1985" s="1"/>
      <c r="Q1985" s="1"/>
      <c r="R1985" s="1"/>
      <c r="U1985" s="125"/>
      <c r="V1985" s="111"/>
      <c r="W1985" s="112"/>
      <c r="X1985" s="113"/>
      <c r="Z1985" s="1"/>
      <c r="AA1985" s="1"/>
    </row>
    <row r="1986">
      <c r="D1986" s="4"/>
      <c r="H1986" s="1"/>
      <c r="I1986" s="1"/>
      <c r="Q1986" s="1"/>
      <c r="R1986" s="1"/>
      <c r="U1986" s="125"/>
      <c r="V1986" s="111"/>
      <c r="W1986" s="112"/>
      <c r="X1986" s="113"/>
      <c r="Z1986" s="1"/>
      <c r="AA1986" s="1"/>
    </row>
    <row r="1987">
      <c r="D1987" s="4"/>
      <c r="H1987" s="1"/>
      <c r="I1987" s="1"/>
      <c r="Q1987" s="1"/>
      <c r="R1987" s="1"/>
      <c r="U1987" s="125"/>
      <c r="V1987" s="111"/>
      <c r="W1987" s="112"/>
      <c r="X1987" s="113"/>
      <c r="Z1987" s="1"/>
      <c r="AA1987" s="1"/>
    </row>
    <row r="1988">
      <c r="D1988" s="4"/>
      <c r="H1988" s="1"/>
      <c r="I1988" s="1"/>
      <c r="Q1988" s="1"/>
      <c r="R1988" s="1"/>
      <c r="U1988" s="125"/>
      <c r="V1988" s="111"/>
      <c r="W1988" s="112"/>
      <c r="X1988" s="113"/>
      <c r="Z1988" s="1"/>
      <c r="AA1988" s="1"/>
    </row>
    <row r="1989">
      <c r="D1989" s="4"/>
      <c r="H1989" s="1"/>
      <c r="I1989" s="1"/>
      <c r="Q1989" s="1"/>
      <c r="R1989" s="1"/>
      <c r="U1989" s="125"/>
      <c r="V1989" s="111"/>
      <c r="W1989" s="112"/>
      <c r="X1989" s="113"/>
      <c r="Z1989" s="1"/>
      <c r="AA1989" s="1"/>
    </row>
    <row r="1990">
      <c r="D1990" s="4"/>
      <c r="H1990" s="1"/>
      <c r="I1990" s="1"/>
      <c r="Q1990" s="1"/>
      <c r="R1990" s="1"/>
      <c r="U1990" s="125"/>
      <c r="V1990" s="111"/>
      <c r="W1990" s="112"/>
      <c r="X1990" s="113"/>
      <c r="Z1990" s="1"/>
      <c r="AA1990" s="1"/>
    </row>
    <row r="1991">
      <c r="D1991" s="4"/>
      <c r="H1991" s="1"/>
      <c r="I1991" s="1"/>
      <c r="Q1991" s="1"/>
      <c r="R1991" s="1"/>
      <c r="U1991" s="125"/>
      <c r="V1991" s="111"/>
      <c r="W1991" s="112"/>
      <c r="X1991" s="113"/>
      <c r="Z1991" s="1"/>
      <c r="AA1991" s="1"/>
    </row>
    <row r="1992">
      <c r="D1992" s="4"/>
      <c r="H1992" s="1"/>
      <c r="I1992" s="1"/>
      <c r="Q1992" s="1"/>
      <c r="R1992" s="1"/>
      <c r="U1992" s="125"/>
      <c r="V1992" s="111"/>
      <c r="W1992" s="112"/>
      <c r="X1992" s="113"/>
      <c r="Z1992" s="1"/>
      <c r="AA1992" s="1"/>
    </row>
    <row r="1993">
      <c r="D1993" s="4"/>
      <c r="H1993" s="1"/>
      <c r="I1993" s="1"/>
      <c r="Q1993" s="1"/>
      <c r="R1993" s="1"/>
      <c r="U1993" s="125"/>
      <c r="V1993" s="111"/>
      <c r="W1993" s="112"/>
      <c r="X1993" s="113"/>
      <c r="Z1993" s="1"/>
      <c r="AA1993" s="1"/>
    </row>
    <row r="1994">
      <c r="D1994" s="4"/>
      <c r="H1994" s="1"/>
      <c r="I1994" s="1"/>
      <c r="Q1994" s="1"/>
      <c r="R1994" s="1"/>
      <c r="U1994" s="125"/>
      <c r="V1994" s="111"/>
      <c r="W1994" s="112"/>
      <c r="X1994" s="113"/>
      <c r="Z1994" s="1"/>
      <c r="AA1994" s="1"/>
    </row>
    <row r="1995">
      <c r="D1995" s="4"/>
      <c r="H1995" s="1"/>
      <c r="I1995" s="1"/>
      <c r="Q1995" s="1"/>
      <c r="R1995" s="1"/>
      <c r="U1995" s="125"/>
      <c r="V1995" s="111"/>
      <c r="W1995" s="112"/>
      <c r="X1995" s="113"/>
      <c r="Z1995" s="1"/>
      <c r="AA1995" s="1"/>
    </row>
    <row r="1996">
      <c r="D1996" s="4"/>
      <c r="H1996" s="1"/>
      <c r="I1996" s="1"/>
      <c r="Q1996" s="1"/>
      <c r="R1996" s="1"/>
      <c r="U1996" s="125"/>
      <c r="V1996" s="111"/>
      <c r="W1996" s="112"/>
      <c r="X1996" s="113"/>
      <c r="Z1996" s="1"/>
      <c r="AA1996" s="1"/>
    </row>
    <row r="1997">
      <c r="D1997" s="4"/>
      <c r="H1997" s="1"/>
      <c r="I1997" s="1"/>
      <c r="Q1997" s="1"/>
      <c r="R1997" s="1"/>
      <c r="U1997" s="125"/>
      <c r="V1997" s="111"/>
      <c r="W1997" s="112"/>
      <c r="X1997" s="113"/>
      <c r="Z1997" s="1"/>
      <c r="AA1997" s="1"/>
    </row>
    <row r="1998">
      <c r="D1998" s="4"/>
      <c r="H1998" s="1"/>
      <c r="I1998" s="1"/>
      <c r="Q1998" s="1"/>
      <c r="R1998" s="1"/>
      <c r="U1998" s="125"/>
      <c r="V1998" s="111"/>
      <c r="W1998" s="112"/>
      <c r="X1998" s="113"/>
      <c r="Z1998" s="1"/>
      <c r="AA1998" s="1"/>
    </row>
    <row r="1999">
      <c r="D1999" s="4"/>
      <c r="H1999" s="1"/>
      <c r="I1999" s="1"/>
      <c r="Q1999" s="1"/>
      <c r="R1999" s="1"/>
      <c r="U1999" s="125"/>
      <c r="V1999" s="111"/>
      <c r="W1999" s="112"/>
      <c r="X1999" s="113"/>
      <c r="Z1999" s="1"/>
      <c r="AA1999" s="1"/>
    </row>
    <row r="2000">
      <c r="D2000" s="4"/>
      <c r="H2000" s="1"/>
      <c r="I2000" s="1"/>
      <c r="Q2000" s="1"/>
      <c r="R2000" s="1"/>
      <c r="U2000" s="125"/>
      <c r="V2000" s="111"/>
      <c r="W2000" s="112"/>
      <c r="X2000" s="113"/>
      <c r="Z2000" s="1"/>
      <c r="AA2000" s="1"/>
    </row>
    <row r="2001">
      <c r="D2001" s="4"/>
      <c r="H2001" s="1"/>
      <c r="I2001" s="1"/>
      <c r="Q2001" s="1"/>
      <c r="R2001" s="1"/>
      <c r="U2001" s="125"/>
      <c r="V2001" s="111"/>
      <c r="W2001" s="112"/>
      <c r="X2001" s="113"/>
      <c r="Z2001" s="1"/>
      <c r="AA2001" s="1"/>
    </row>
    <row r="2002">
      <c r="D2002" s="4"/>
      <c r="H2002" s="1"/>
      <c r="I2002" s="1"/>
      <c r="Q2002" s="1"/>
      <c r="R2002" s="1"/>
      <c r="U2002" s="125"/>
      <c r="V2002" s="111"/>
      <c r="W2002" s="112"/>
      <c r="X2002" s="113"/>
      <c r="Z2002" s="1"/>
      <c r="AA2002" s="1"/>
    </row>
    <row r="2003">
      <c r="D2003" s="4"/>
      <c r="H2003" s="1"/>
      <c r="I2003" s="1"/>
      <c r="Q2003" s="1"/>
      <c r="R2003" s="1"/>
      <c r="U2003" s="125"/>
      <c r="V2003" s="111"/>
      <c r="W2003" s="112"/>
      <c r="X2003" s="113"/>
      <c r="Z2003" s="1"/>
      <c r="AA2003" s="1"/>
    </row>
    <row r="2004">
      <c r="D2004" s="4"/>
      <c r="H2004" s="1"/>
      <c r="I2004" s="1"/>
      <c r="Q2004" s="1"/>
      <c r="R2004" s="1"/>
      <c r="U2004" s="125"/>
      <c r="V2004" s="111"/>
      <c r="W2004" s="112"/>
      <c r="X2004" s="113"/>
      <c r="Z2004" s="1"/>
      <c r="AA2004" s="1"/>
    </row>
    <row r="2005">
      <c r="D2005" s="4"/>
      <c r="H2005" s="1"/>
      <c r="I2005" s="1"/>
      <c r="Q2005" s="1"/>
      <c r="R2005" s="1"/>
      <c r="U2005" s="125"/>
      <c r="V2005" s="111"/>
      <c r="W2005" s="112"/>
      <c r="X2005" s="113"/>
      <c r="Z2005" s="1"/>
      <c r="AA2005" s="1"/>
    </row>
    <row r="2006">
      <c r="D2006" s="4"/>
      <c r="H2006" s="1"/>
      <c r="I2006" s="1"/>
      <c r="Q2006" s="1"/>
      <c r="R2006" s="1"/>
      <c r="U2006" s="125"/>
      <c r="V2006" s="111"/>
      <c r="W2006" s="112"/>
      <c r="X2006" s="113"/>
      <c r="Z2006" s="1"/>
      <c r="AA2006" s="1"/>
    </row>
    <row r="2007">
      <c r="D2007" s="4"/>
      <c r="H2007" s="1"/>
      <c r="I2007" s="1"/>
      <c r="Q2007" s="1"/>
      <c r="R2007" s="1"/>
      <c r="U2007" s="125"/>
      <c r="V2007" s="111"/>
      <c r="W2007" s="112"/>
      <c r="X2007" s="113"/>
      <c r="Z2007" s="1"/>
      <c r="AA2007" s="1"/>
    </row>
    <row r="2008">
      <c r="D2008" s="4"/>
      <c r="H2008" s="1"/>
      <c r="I2008" s="1"/>
      <c r="Q2008" s="1"/>
      <c r="R2008" s="1"/>
      <c r="U2008" s="125"/>
      <c r="V2008" s="111"/>
      <c r="W2008" s="112"/>
      <c r="X2008" s="113"/>
      <c r="Z2008" s="1"/>
      <c r="AA2008" s="1"/>
    </row>
    <row r="2009">
      <c r="D2009" s="4"/>
      <c r="H2009" s="1"/>
      <c r="I2009" s="1"/>
      <c r="Q2009" s="1"/>
      <c r="R2009" s="1"/>
      <c r="U2009" s="125"/>
      <c r="V2009" s="111"/>
      <c r="W2009" s="112"/>
      <c r="X2009" s="113"/>
      <c r="Z2009" s="1"/>
      <c r="AA2009" s="1"/>
    </row>
    <row r="2010">
      <c r="D2010" s="4"/>
      <c r="H2010" s="1"/>
      <c r="I2010" s="1"/>
      <c r="Q2010" s="1"/>
      <c r="R2010" s="1"/>
      <c r="U2010" s="125"/>
      <c r="V2010" s="111"/>
      <c r="W2010" s="112"/>
      <c r="X2010" s="113"/>
      <c r="Z2010" s="1"/>
      <c r="AA2010" s="1"/>
    </row>
    <row r="2011">
      <c r="D2011" s="4"/>
      <c r="H2011" s="1"/>
      <c r="I2011" s="1"/>
      <c r="Q2011" s="1"/>
      <c r="R2011" s="1"/>
      <c r="U2011" s="125"/>
      <c r="V2011" s="111"/>
      <c r="W2011" s="112"/>
      <c r="X2011" s="113"/>
      <c r="Z2011" s="1"/>
      <c r="AA2011" s="1"/>
    </row>
    <row r="2012">
      <c r="D2012" s="4"/>
      <c r="H2012" s="1"/>
      <c r="I2012" s="1"/>
      <c r="Q2012" s="1"/>
      <c r="R2012" s="1"/>
      <c r="U2012" s="125"/>
      <c r="V2012" s="111"/>
      <c r="W2012" s="112"/>
      <c r="X2012" s="113"/>
      <c r="Z2012" s="1"/>
      <c r="AA2012" s="1"/>
    </row>
    <row r="2013">
      <c r="D2013" s="4"/>
      <c r="H2013" s="1"/>
      <c r="I2013" s="1"/>
      <c r="Q2013" s="1"/>
      <c r="R2013" s="1"/>
      <c r="U2013" s="125"/>
      <c r="V2013" s="111"/>
      <c r="W2013" s="112"/>
      <c r="X2013" s="113"/>
      <c r="Z2013" s="1"/>
      <c r="AA2013" s="1"/>
    </row>
    <row r="2014">
      <c r="D2014" s="4"/>
      <c r="H2014" s="1"/>
      <c r="I2014" s="1"/>
      <c r="Q2014" s="1"/>
      <c r="R2014" s="1"/>
      <c r="U2014" s="125"/>
      <c r="V2014" s="111"/>
      <c r="W2014" s="112"/>
      <c r="X2014" s="113"/>
      <c r="Z2014" s="1"/>
      <c r="AA2014" s="1"/>
    </row>
    <row r="2015">
      <c r="D2015" s="4"/>
      <c r="H2015" s="1"/>
      <c r="I2015" s="1"/>
      <c r="Q2015" s="1"/>
      <c r="R2015" s="1"/>
      <c r="U2015" s="125"/>
      <c r="V2015" s="111"/>
      <c r="W2015" s="112"/>
      <c r="X2015" s="113"/>
      <c r="Z2015" s="1"/>
      <c r="AA2015" s="1"/>
    </row>
    <row r="2016">
      <c r="D2016" s="4"/>
      <c r="H2016" s="1"/>
      <c r="I2016" s="1"/>
      <c r="Q2016" s="1"/>
      <c r="R2016" s="1"/>
      <c r="U2016" s="125"/>
      <c r="V2016" s="111"/>
      <c r="W2016" s="112"/>
      <c r="X2016" s="113"/>
      <c r="Z2016" s="1"/>
      <c r="AA2016" s="1"/>
    </row>
    <row r="2017">
      <c r="D2017" s="4"/>
      <c r="H2017" s="1"/>
      <c r="I2017" s="1"/>
      <c r="Q2017" s="1"/>
      <c r="R2017" s="1"/>
      <c r="U2017" s="125"/>
      <c r="V2017" s="111"/>
      <c r="W2017" s="112"/>
      <c r="X2017" s="113"/>
      <c r="Z2017" s="1"/>
      <c r="AA2017" s="1"/>
    </row>
    <row r="2018">
      <c r="D2018" s="4"/>
      <c r="H2018" s="1"/>
      <c r="I2018" s="1"/>
      <c r="Q2018" s="1"/>
      <c r="R2018" s="1"/>
      <c r="U2018" s="125"/>
      <c r="V2018" s="111"/>
      <c r="W2018" s="112"/>
      <c r="X2018" s="113"/>
      <c r="Z2018" s="1"/>
      <c r="AA2018" s="1"/>
    </row>
    <row r="2019">
      <c r="D2019" s="4"/>
      <c r="H2019" s="1"/>
      <c r="I2019" s="1"/>
      <c r="Q2019" s="1"/>
      <c r="R2019" s="1"/>
      <c r="U2019" s="125"/>
      <c r="V2019" s="111"/>
      <c r="W2019" s="112"/>
      <c r="X2019" s="113"/>
      <c r="Z2019" s="1"/>
      <c r="AA2019" s="1"/>
    </row>
    <row r="2020">
      <c r="D2020" s="4"/>
      <c r="H2020" s="1"/>
      <c r="I2020" s="1"/>
      <c r="Q2020" s="1"/>
      <c r="R2020" s="1"/>
      <c r="U2020" s="125"/>
      <c r="V2020" s="111"/>
      <c r="W2020" s="112"/>
      <c r="X2020" s="113"/>
      <c r="Z2020" s="1"/>
      <c r="AA2020" s="1"/>
    </row>
    <row r="2021">
      <c r="D2021" s="4"/>
      <c r="H2021" s="1"/>
      <c r="I2021" s="1"/>
      <c r="Q2021" s="1"/>
      <c r="R2021" s="1"/>
      <c r="U2021" s="125"/>
      <c r="V2021" s="111"/>
      <c r="W2021" s="112"/>
      <c r="X2021" s="113"/>
      <c r="Z2021" s="1"/>
      <c r="AA2021" s="1"/>
    </row>
    <row r="2022">
      <c r="D2022" s="4"/>
      <c r="H2022" s="1"/>
      <c r="I2022" s="1"/>
      <c r="Q2022" s="1"/>
      <c r="R2022" s="1"/>
      <c r="U2022" s="125"/>
      <c r="V2022" s="111"/>
      <c r="W2022" s="112"/>
      <c r="X2022" s="113"/>
      <c r="Z2022" s="1"/>
      <c r="AA2022" s="1"/>
    </row>
    <row r="2023">
      <c r="D2023" s="4"/>
      <c r="H2023" s="1"/>
      <c r="I2023" s="1"/>
      <c r="Q2023" s="1"/>
      <c r="R2023" s="1"/>
      <c r="U2023" s="125"/>
      <c r="V2023" s="111"/>
      <c r="W2023" s="112"/>
      <c r="X2023" s="113"/>
      <c r="Z2023" s="1"/>
      <c r="AA2023" s="1"/>
    </row>
    <row r="2024">
      <c r="D2024" s="4"/>
      <c r="H2024" s="1"/>
      <c r="I2024" s="1"/>
      <c r="Q2024" s="1"/>
      <c r="R2024" s="1"/>
      <c r="U2024" s="125"/>
      <c r="V2024" s="111"/>
      <c r="W2024" s="112"/>
      <c r="X2024" s="113"/>
      <c r="Z2024" s="1"/>
      <c r="AA2024" s="1"/>
    </row>
    <row r="2025">
      <c r="D2025" s="4"/>
      <c r="H2025" s="1"/>
      <c r="I2025" s="1"/>
      <c r="Q2025" s="1"/>
      <c r="R2025" s="1"/>
      <c r="U2025" s="125"/>
      <c r="V2025" s="111"/>
      <c r="W2025" s="112"/>
      <c r="X2025" s="113"/>
      <c r="Z2025" s="1"/>
      <c r="AA2025" s="1"/>
    </row>
    <row r="2026">
      <c r="D2026" s="4"/>
      <c r="H2026" s="1"/>
      <c r="I2026" s="1"/>
      <c r="Q2026" s="1"/>
      <c r="R2026" s="1"/>
      <c r="U2026" s="125"/>
      <c r="V2026" s="111"/>
      <c r="W2026" s="112"/>
      <c r="X2026" s="113"/>
      <c r="Z2026" s="1"/>
      <c r="AA2026" s="1"/>
    </row>
    <row r="2027">
      <c r="D2027" s="4"/>
      <c r="H2027" s="1"/>
      <c r="I2027" s="1"/>
      <c r="Q2027" s="1"/>
      <c r="R2027" s="1"/>
      <c r="U2027" s="125"/>
      <c r="V2027" s="111"/>
      <c r="W2027" s="112"/>
      <c r="X2027" s="113"/>
      <c r="Z2027" s="1"/>
      <c r="AA2027" s="1"/>
    </row>
    <row r="2028">
      <c r="D2028" s="4"/>
      <c r="H2028" s="1"/>
      <c r="I2028" s="1"/>
      <c r="Q2028" s="1"/>
      <c r="R2028" s="1"/>
      <c r="U2028" s="125"/>
      <c r="V2028" s="111"/>
      <c r="W2028" s="112"/>
      <c r="X2028" s="113"/>
      <c r="Z2028" s="1"/>
      <c r="AA2028" s="1"/>
    </row>
    <row r="2029">
      <c r="D2029" s="4"/>
      <c r="H2029" s="1"/>
      <c r="I2029" s="1"/>
      <c r="Q2029" s="1"/>
      <c r="R2029" s="1"/>
      <c r="U2029" s="125"/>
      <c r="V2029" s="111"/>
      <c r="W2029" s="112"/>
      <c r="X2029" s="113"/>
      <c r="Z2029" s="1"/>
      <c r="AA2029" s="1"/>
    </row>
    <row r="2030">
      <c r="D2030" s="4"/>
      <c r="H2030" s="1"/>
      <c r="I2030" s="1"/>
      <c r="Q2030" s="1"/>
      <c r="R2030" s="1"/>
      <c r="U2030" s="125"/>
      <c r="V2030" s="111"/>
      <c r="W2030" s="112"/>
      <c r="X2030" s="113"/>
      <c r="Z2030" s="1"/>
      <c r="AA2030" s="1"/>
    </row>
    <row r="2031">
      <c r="D2031" s="4"/>
      <c r="H2031" s="1"/>
      <c r="I2031" s="1"/>
      <c r="Q2031" s="1"/>
      <c r="R2031" s="1"/>
      <c r="U2031" s="125"/>
      <c r="V2031" s="111"/>
      <c r="W2031" s="112"/>
      <c r="X2031" s="113"/>
      <c r="Z2031" s="1"/>
      <c r="AA2031" s="1"/>
    </row>
    <row r="2032">
      <c r="D2032" s="4"/>
      <c r="H2032" s="1"/>
      <c r="I2032" s="1"/>
      <c r="Q2032" s="1"/>
      <c r="R2032" s="1"/>
      <c r="U2032" s="125"/>
      <c r="V2032" s="111"/>
      <c r="W2032" s="112"/>
      <c r="X2032" s="113"/>
      <c r="Z2032" s="1"/>
      <c r="AA2032" s="1"/>
    </row>
    <row r="2033">
      <c r="D2033" s="4"/>
      <c r="H2033" s="1"/>
      <c r="I2033" s="1"/>
      <c r="Q2033" s="1"/>
      <c r="R2033" s="1"/>
      <c r="U2033" s="125"/>
      <c r="V2033" s="111"/>
      <c r="W2033" s="112"/>
      <c r="X2033" s="113"/>
      <c r="Z2033" s="1"/>
      <c r="AA2033" s="1"/>
    </row>
    <row r="2034">
      <c r="D2034" s="4"/>
      <c r="H2034" s="1"/>
      <c r="I2034" s="1"/>
      <c r="Q2034" s="1"/>
      <c r="R2034" s="1"/>
      <c r="U2034" s="125"/>
      <c r="V2034" s="111"/>
      <c r="W2034" s="112"/>
      <c r="X2034" s="113"/>
      <c r="Z2034" s="1"/>
      <c r="AA2034" s="1"/>
    </row>
    <row r="2035">
      <c r="D2035" s="4"/>
      <c r="H2035" s="1"/>
      <c r="I2035" s="1"/>
      <c r="Q2035" s="1"/>
      <c r="R2035" s="1"/>
      <c r="U2035" s="125"/>
      <c r="V2035" s="111"/>
      <c r="W2035" s="112"/>
      <c r="X2035" s="113"/>
      <c r="Z2035" s="1"/>
      <c r="AA2035" s="1"/>
    </row>
    <row r="2036">
      <c r="D2036" s="4"/>
      <c r="H2036" s="1"/>
      <c r="I2036" s="1"/>
      <c r="Q2036" s="1"/>
      <c r="R2036" s="1"/>
      <c r="U2036" s="125"/>
      <c r="V2036" s="111"/>
      <c r="W2036" s="112"/>
      <c r="X2036" s="113"/>
      <c r="Z2036" s="1"/>
      <c r="AA2036" s="1"/>
    </row>
    <row r="2037">
      <c r="D2037" s="4"/>
      <c r="H2037" s="1"/>
      <c r="I2037" s="1"/>
      <c r="Q2037" s="1"/>
      <c r="R2037" s="1"/>
      <c r="U2037" s="125"/>
      <c r="V2037" s="111"/>
      <c r="W2037" s="112"/>
      <c r="X2037" s="113"/>
      <c r="Z2037" s="1"/>
      <c r="AA2037" s="1"/>
    </row>
    <row r="2038">
      <c r="D2038" s="4"/>
      <c r="H2038" s="1"/>
      <c r="I2038" s="1"/>
      <c r="Q2038" s="1"/>
      <c r="R2038" s="1"/>
      <c r="U2038" s="125"/>
      <c r="V2038" s="111"/>
      <c r="W2038" s="112"/>
      <c r="X2038" s="113"/>
      <c r="Z2038" s="1"/>
      <c r="AA2038" s="1"/>
    </row>
    <row r="2039">
      <c r="D2039" s="4"/>
      <c r="H2039" s="1"/>
      <c r="I2039" s="1"/>
      <c r="Q2039" s="1"/>
      <c r="R2039" s="1"/>
      <c r="U2039" s="125"/>
      <c r="V2039" s="111"/>
      <c r="W2039" s="112"/>
      <c r="X2039" s="113"/>
      <c r="Z2039" s="1"/>
      <c r="AA2039" s="1"/>
    </row>
    <row r="2040">
      <c r="D2040" s="4"/>
      <c r="H2040" s="1"/>
      <c r="I2040" s="1"/>
      <c r="Q2040" s="1"/>
      <c r="R2040" s="1"/>
      <c r="U2040" s="125"/>
      <c r="V2040" s="111"/>
      <c r="W2040" s="112"/>
      <c r="X2040" s="113"/>
      <c r="Z2040" s="1"/>
      <c r="AA2040" s="1"/>
    </row>
    <row r="2041">
      <c r="D2041" s="4"/>
      <c r="H2041" s="1"/>
      <c r="I2041" s="1"/>
      <c r="Q2041" s="1"/>
      <c r="R2041" s="1"/>
      <c r="U2041" s="125"/>
      <c r="V2041" s="111"/>
      <c r="W2041" s="112"/>
      <c r="X2041" s="113"/>
      <c r="Z2041" s="1"/>
      <c r="AA2041" s="1"/>
    </row>
    <row r="2042">
      <c r="D2042" s="4"/>
      <c r="H2042" s="1"/>
      <c r="I2042" s="1"/>
      <c r="Q2042" s="1"/>
      <c r="R2042" s="1"/>
      <c r="U2042" s="125"/>
      <c r="V2042" s="111"/>
      <c r="W2042" s="112"/>
      <c r="X2042" s="113"/>
      <c r="Z2042" s="1"/>
      <c r="AA2042" s="1"/>
    </row>
    <row r="2043">
      <c r="D2043" s="4"/>
      <c r="H2043" s="1"/>
      <c r="I2043" s="1"/>
      <c r="Q2043" s="1"/>
      <c r="R2043" s="1"/>
      <c r="U2043" s="125"/>
      <c r="V2043" s="111"/>
      <c r="W2043" s="112"/>
      <c r="X2043" s="113"/>
      <c r="Z2043" s="1"/>
      <c r="AA2043" s="1"/>
    </row>
    <row r="2044">
      <c r="D2044" s="4"/>
      <c r="H2044" s="1"/>
      <c r="I2044" s="1"/>
      <c r="Q2044" s="1"/>
      <c r="R2044" s="1"/>
      <c r="U2044" s="125"/>
      <c r="V2044" s="111"/>
      <c r="W2044" s="112"/>
      <c r="X2044" s="113"/>
      <c r="Z2044" s="1"/>
      <c r="AA2044" s="1"/>
    </row>
    <row r="2045">
      <c r="D2045" s="4"/>
      <c r="H2045" s="1"/>
      <c r="I2045" s="1"/>
      <c r="Q2045" s="1"/>
      <c r="R2045" s="1"/>
      <c r="U2045" s="125"/>
      <c r="V2045" s="111"/>
      <c r="W2045" s="112"/>
      <c r="X2045" s="113"/>
      <c r="Z2045" s="1"/>
      <c r="AA2045" s="1"/>
    </row>
    <row r="2046">
      <c r="D2046" s="4"/>
      <c r="H2046" s="1"/>
      <c r="I2046" s="1"/>
      <c r="Q2046" s="1"/>
      <c r="R2046" s="1"/>
      <c r="U2046" s="125"/>
      <c r="V2046" s="111"/>
      <c r="W2046" s="112"/>
      <c r="X2046" s="113"/>
      <c r="Z2046" s="1"/>
      <c r="AA2046" s="1"/>
    </row>
    <row r="2047">
      <c r="D2047" s="4"/>
      <c r="H2047" s="1"/>
      <c r="I2047" s="1"/>
      <c r="Q2047" s="1"/>
      <c r="R2047" s="1"/>
      <c r="U2047" s="125"/>
      <c r="V2047" s="111"/>
      <c r="W2047" s="112"/>
      <c r="X2047" s="113"/>
      <c r="Z2047" s="1"/>
      <c r="AA2047" s="1"/>
    </row>
    <row r="2048">
      <c r="D2048" s="4"/>
      <c r="H2048" s="1"/>
      <c r="I2048" s="1"/>
      <c r="Q2048" s="1"/>
      <c r="R2048" s="1"/>
      <c r="U2048" s="125"/>
      <c r="V2048" s="111"/>
      <c r="W2048" s="112"/>
      <c r="X2048" s="113"/>
      <c r="Z2048" s="1"/>
      <c r="AA2048" s="1"/>
    </row>
    <row r="2049">
      <c r="D2049" s="4"/>
      <c r="H2049" s="1"/>
      <c r="I2049" s="1"/>
      <c r="Q2049" s="1"/>
      <c r="R2049" s="1"/>
      <c r="U2049" s="125"/>
      <c r="V2049" s="111"/>
      <c r="W2049" s="112"/>
      <c r="X2049" s="113"/>
      <c r="Z2049" s="1"/>
      <c r="AA2049" s="1"/>
    </row>
    <row r="2050">
      <c r="D2050" s="4"/>
      <c r="H2050" s="1"/>
      <c r="I2050" s="1"/>
      <c r="Q2050" s="1"/>
      <c r="R2050" s="1"/>
      <c r="U2050" s="125"/>
      <c r="V2050" s="111"/>
      <c r="W2050" s="112"/>
      <c r="X2050" s="113"/>
      <c r="Z2050" s="1"/>
      <c r="AA2050" s="1"/>
    </row>
    <row r="2051">
      <c r="D2051" s="4"/>
      <c r="H2051" s="1"/>
      <c r="I2051" s="1"/>
      <c r="Q2051" s="1"/>
      <c r="R2051" s="1"/>
      <c r="U2051" s="125"/>
      <c r="V2051" s="111"/>
      <c r="W2051" s="112"/>
      <c r="X2051" s="113"/>
      <c r="Z2051" s="1"/>
      <c r="AA2051" s="1"/>
    </row>
    <row r="2052">
      <c r="D2052" s="4"/>
      <c r="H2052" s="1"/>
      <c r="I2052" s="1"/>
      <c r="Q2052" s="1"/>
      <c r="R2052" s="1"/>
      <c r="U2052" s="125"/>
      <c r="V2052" s="111"/>
      <c r="W2052" s="112"/>
      <c r="X2052" s="113"/>
      <c r="Z2052" s="1"/>
      <c r="AA2052" s="1"/>
    </row>
  </sheetData>
  <conditionalFormatting sqref="J5:J9 S5:S9 J113 S113">
    <cfRule type="containsText" dxfId="0" priority="1" operator="containsText" text="15600">
      <formula>NOT(ISERROR(SEARCH(("15600"),(J5))))</formula>
    </cfRule>
  </conditionalFormatting>
  <conditionalFormatting sqref="J113 S113">
    <cfRule type="containsText" dxfId="0" priority="2" operator="containsText" text="15600">
      <formula>NOT(ISERROR(SEARCH(("15600"),(J113))))</formula>
    </cfRule>
  </conditionalFormatting>
  <conditionalFormatting sqref="J65:J94 S65:S94 J110 S110 J113 L113 S113 U113">
    <cfRule type="containsText" dxfId="0" priority="3" operator="containsText" text="6700">
      <formula>NOT(ISERROR(SEARCH(("6700"),(J65))))</formula>
    </cfRule>
  </conditionalFormatting>
  <conditionalFormatting sqref="A63:A100 J63:J101 S63:S101 A109:A110 J109:J111 S109:S111 A113:A117 J113:J118 S113:S118 S121">
    <cfRule type="containsText" dxfId="0" priority="4" operator="containsText" text="6700">
      <formula>NOT(ISERROR(SEARCH(("6700"),(A63))))</formula>
    </cfRule>
  </conditionalFormatting>
  <conditionalFormatting sqref="S29:S33 S36:S38 S40:S42 U84">
    <cfRule type="containsText" dxfId="0" priority="5" operator="containsText" text="3000">
      <formula>NOT(ISERROR(SEARCH(("3000"),(S29))))</formula>
    </cfRule>
  </conditionalFormatting>
  <conditionalFormatting sqref="S81:S83">
    <cfRule type="containsText" dxfId="0" priority="6" operator="containsText" text="3000">
      <formula>NOT(ISERROR(SEARCH(("3000"),(S81))))</formula>
    </cfRule>
  </conditionalFormatting>
  <conditionalFormatting sqref="U86">
    <cfRule type="containsText" dxfId="0" priority="7" operator="containsText" text="6700">
      <formula>NOT(ISERROR(SEARCH(("6700"),(U86))))</formula>
    </cfRule>
  </conditionalFormatting>
  <conditionalFormatting sqref="S42:S51 U86">
    <cfRule type="containsText" dxfId="0" priority="8" operator="containsText" text="10000">
      <formula>NOT(ISERROR(SEARCH(("10000"),(S42))))</formula>
    </cfRule>
  </conditionalFormatting>
  <conditionalFormatting sqref="S4:S8 U86">
    <cfRule type="containsText" dxfId="0" priority="9" operator="containsText" text="15600">
      <formula>NOT(ISERROR(SEARCH(("15600"),(S4))))</formula>
    </cfRule>
  </conditionalFormatting>
  <conditionalFormatting sqref="S86 U86">
    <cfRule type="containsText" dxfId="0" priority="10" operator="containsText" text="6700">
      <formula>NOT(ISERROR(SEARCH(("6700"),(S86))))</formula>
    </cfRule>
  </conditionalFormatting>
  <conditionalFormatting sqref="U86">
    <cfRule type="containsText" dxfId="0" priority="11" operator="containsText" text="6700">
      <formula>NOT(ISERROR(SEARCH(("6700"),(U86))))</formula>
    </cfRule>
  </conditionalFormatting>
  <conditionalFormatting sqref="U86">
    <cfRule type="containsText" dxfId="0" priority="12" operator="containsText" text="15600">
      <formula>NOT(ISERROR(SEARCH(("15600"),(U86))))</formula>
    </cfRule>
  </conditionalFormatting>
  <conditionalFormatting sqref="U86">
    <cfRule type="containsText" dxfId="0" priority="13" operator="containsText" text="6700">
      <formula>NOT(ISERROR(SEARCH(("6700"),(U86))))</formula>
    </cfRule>
  </conditionalFormatting>
  <conditionalFormatting sqref="U86">
    <cfRule type="containsText" dxfId="0" priority="14" operator="containsText" text="15600">
      <formula>NOT(ISERROR(SEARCH(("15600"),(U86))))</formula>
    </cfRule>
  </conditionalFormatting>
  <conditionalFormatting sqref="U81:U83">
    <cfRule type="containsText" dxfId="0" priority="15" operator="containsText" text="10000">
      <formula>NOT(ISERROR(SEARCH(("10000"),(U81))))</formula>
    </cfRule>
  </conditionalFormatting>
  <conditionalFormatting sqref="U81:U83">
    <cfRule type="containsText" dxfId="0" priority="16" operator="containsText" text="15600">
      <formula>NOT(ISERROR(SEARCH(("15600"),(U81))))</formula>
    </cfRule>
  </conditionalFormatting>
  <conditionalFormatting sqref="U81:U83">
    <cfRule type="containsText" dxfId="0" priority="17" operator="containsText" text="3000">
      <formula>NOT(ISERROR(SEARCH(("3000"),(U81))))</formula>
    </cfRule>
  </conditionalFormatting>
  <conditionalFormatting sqref="S81:S85">
    <cfRule type="containsText" dxfId="0" priority="18" operator="containsText" text="3000">
      <formula>NOT(ISERROR(SEARCH(("3000"),(S81))))</formula>
    </cfRule>
  </conditionalFormatting>
  <conditionalFormatting sqref="J42:J49 S42:S49 L91 U91">
    <cfRule type="containsText" dxfId="0" priority="19" operator="containsText" text="10000">
      <formula>NOT(ISERROR(SEARCH(("10000"),(J42))))</formula>
    </cfRule>
  </conditionalFormatting>
  <conditionalFormatting sqref="J27:J41 S27:S41 L89 U89">
    <cfRule type="containsText" dxfId="0" priority="20" operator="containsText" text="3000">
      <formula>NOT(ISERROR(SEARCH(("3000"),(J27))))</formula>
    </cfRule>
  </conditionalFormatting>
  <conditionalFormatting sqref="S62:S103 U77">
    <cfRule type="containsText" dxfId="0" priority="21" operator="containsText" text="6700">
      <formula>NOT(ISERROR(SEARCH(("6700"),(S62))))</formula>
    </cfRule>
  </conditionalFormatting>
  <conditionalFormatting sqref="S7:S12 U77">
    <cfRule type="containsText" dxfId="0" priority="22" operator="containsText" text="15600">
      <formula>NOT(ISERROR(SEARCH(("15600"),(S7))))</formula>
    </cfRule>
  </conditionalFormatting>
  <conditionalFormatting sqref="U81:U83">
    <cfRule type="containsText" dxfId="0" priority="23" operator="containsText" text="15600">
      <formula>NOT(ISERROR(SEARCH(("15600"),(U81))))</formula>
    </cfRule>
  </conditionalFormatting>
  <conditionalFormatting sqref="U81:U83">
    <cfRule type="containsText" dxfId="0" priority="24" operator="containsText" text="6700">
      <formula>NOT(ISERROR(SEARCH(("6700"),(U81))))</formula>
    </cfRule>
  </conditionalFormatting>
  <conditionalFormatting sqref="S36">
    <cfRule type="containsText" dxfId="0" priority="25" operator="containsText" text="10000">
      <formula>NOT(ISERROR(SEARCH(("10000"),(S36))))</formula>
    </cfRule>
  </conditionalFormatting>
  <conditionalFormatting sqref="S81:S83 U81:U83">
    <cfRule type="containsText" dxfId="0" priority="26" operator="containsText" text="6700">
      <formula>NOT(ISERROR(SEARCH(("6700"),(S81))))</formula>
    </cfRule>
  </conditionalFormatting>
  <conditionalFormatting sqref="U81:U83">
    <cfRule type="containsText" dxfId="0" priority="27" operator="containsText" text="6700">
      <formula>NOT(ISERROR(SEARCH(("6700"),(U81))))</formula>
    </cfRule>
  </conditionalFormatting>
  <conditionalFormatting sqref="U81:U83">
    <cfRule type="containsText" dxfId="0" priority="28" operator="containsText" text="15600">
      <formula>NOT(ISERROR(SEARCH(("15600"),(U81))))</formula>
    </cfRule>
  </conditionalFormatting>
  <conditionalFormatting sqref="U81:U83">
    <cfRule type="containsText" dxfId="0" priority="29" operator="containsText" text="6700">
      <formula>NOT(ISERROR(SEARCH(("6700"),(U81))))</formula>
    </cfRule>
  </conditionalFormatting>
  <conditionalFormatting sqref="U81:U83">
    <cfRule type="containsText" dxfId="0" priority="30" operator="containsText" text="15600">
      <formula>NOT(ISERROR(SEARCH(("15600"),(U81))))</formula>
    </cfRule>
  </conditionalFormatting>
  <conditionalFormatting sqref="U74:U76">
    <cfRule type="containsText" dxfId="0" priority="31" operator="containsText" text="15600">
      <formula>NOT(ISERROR(SEARCH(("15600"),(U74))))</formula>
    </cfRule>
  </conditionalFormatting>
  <conditionalFormatting sqref="U74:U76">
    <cfRule type="containsText" dxfId="0" priority="32" operator="containsText" text="15600">
      <formula>NOT(ISERROR(SEARCH(("15600"),(U74))))</formula>
    </cfRule>
  </conditionalFormatting>
  <conditionalFormatting sqref="U74:U76">
    <cfRule type="containsText" dxfId="0" priority="33" operator="containsText" text="6700">
      <formula>NOT(ISERROR(SEARCH(("6700"),(U74))))</formula>
    </cfRule>
  </conditionalFormatting>
  <conditionalFormatting sqref="A4:A12 J4:J13 S4:S13 C90 L90:L91 U90:U91">
    <cfRule type="containsText" dxfId="0" priority="34" operator="containsText" text="15600">
      <formula>NOT(ISERROR(SEARCH(("15600"),(A4))))</formula>
    </cfRule>
  </conditionalFormatting>
  <conditionalFormatting sqref="A62:A105 J62:J106 S62:S106 C90 L90:L91 U90:U91">
    <cfRule type="containsText" dxfId="0" priority="35" operator="containsText" text="6700">
      <formula>NOT(ISERROR(SEARCH(("6700"),(A62))))</formula>
    </cfRule>
  </conditionalFormatting>
  <conditionalFormatting sqref="A36 J36:J38 S36:S38 A42:A51 J42:J52 S42:S52 C90 L90:L91 U90:U91">
    <cfRule type="containsText" dxfId="0" priority="36" operator="containsText" text="10000">
      <formula>NOT(ISERROR(SEARCH(("10000"),(A36))))</formula>
    </cfRule>
  </conditionalFormatting>
  <conditionalFormatting sqref="A90 C90 J90:J91 L90:L91 S90:S91 U90:U91">
    <cfRule type="containsText" dxfId="0" priority="37" operator="containsText" text="6700">
      <formula>NOT(ISERROR(SEARCH(("6700"),(A90))))</formula>
    </cfRule>
  </conditionalFormatting>
  <conditionalFormatting sqref="C90 L90:L91 U90:U91">
    <cfRule type="containsText" dxfId="0" priority="38" operator="containsText" text="6700">
      <formula>NOT(ISERROR(SEARCH(("6700"),(C90))))</formula>
    </cfRule>
  </conditionalFormatting>
  <conditionalFormatting sqref="C90 L90:L91 U90:U91">
    <cfRule type="containsText" dxfId="0" priority="39" operator="containsText" text="15600">
      <formula>NOT(ISERROR(SEARCH(("15600"),(C90))))</formula>
    </cfRule>
  </conditionalFormatting>
  <conditionalFormatting sqref="C90 L90:L91 U90:U91">
    <cfRule type="containsText" dxfId="0" priority="40" operator="containsText" text="6700">
      <formula>NOT(ISERROR(SEARCH(("6700"),(C90))))</formula>
    </cfRule>
  </conditionalFormatting>
  <conditionalFormatting sqref="C90 L90:L91 U90:U91">
    <cfRule type="containsText" dxfId="0" priority="41" operator="containsText" text="15600">
      <formula>NOT(ISERROR(SEARCH(("15600"),(C90))))</formula>
    </cfRule>
  </conditionalFormatting>
  <conditionalFormatting sqref="C86:C87 L86:L88 U86:U88">
    <cfRule type="containsText" dxfId="0" priority="42" operator="containsText" text="15600">
      <formula>NOT(ISERROR(SEARCH(("15600"),(C86))))</formula>
    </cfRule>
  </conditionalFormatting>
  <conditionalFormatting sqref="A27:A91 J27:J91 S27:S91 C38:C65 L38:L65 U38:U65 C87:C88 L87:L89 U87:U89">
    <cfRule type="containsText" dxfId="0" priority="43" operator="containsText" text="3000">
      <formula>NOT(ISERROR(SEARCH(("3000"),(A27))))</formula>
    </cfRule>
  </conditionalFormatting>
  <conditionalFormatting sqref="A86:A88 J86:J89 S86:S89">
    <cfRule type="containsText" dxfId="0" priority="44" operator="containsText" text="3000">
      <formula>NOT(ISERROR(SEARCH(("3000"),(A86))))</formula>
    </cfRule>
  </conditionalFormatting>
  <conditionalFormatting sqref="J62:J91 S62:S91 L78:L83 U78:U83 C80">
    <cfRule type="containsText" dxfId="0" priority="45" operator="containsText" text="6700">
      <formula>NOT(ISERROR(SEARCH(("6700"),(J62))))</formula>
    </cfRule>
  </conditionalFormatting>
  <conditionalFormatting sqref="J11:J12 S11:S12 L78:L83 U78:U83 C80">
    <cfRule type="containsText" dxfId="0" priority="46" operator="containsText" text="15600">
      <formula>NOT(ISERROR(SEARCH(("15600"),(J11))))</formula>
    </cfRule>
  </conditionalFormatting>
  <conditionalFormatting sqref="C77 L77:L78 U77:U78">
    <cfRule type="containsText" dxfId="0" priority="47" operator="containsText" text="15600">
      <formula>NOT(ISERROR(SEARCH(("15600"),(C77))))</formula>
    </cfRule>
  </conditionalFormatting>
  <conditionalFormatting sqref="C74:C75 L74:L80 U74:U80 C77:C79">
    <cfRule type="containsText" dxfId="0" priority="48" operator="containsText" text="15600">
      <formula>NOT(ISERROR(SEARCH(("15600"),(C74))))</formula>
    </cfRule>
  </conditionalFormatting>
  <conditionalFormatting sqref="C74:C75 L74:L80 U74:U80 C77:C79">
    <cfRule type="containsText" dxfId="0" priority="49" operator="containsText" text="6700">
      <formula>NOT(ISERROR(SEARCH(("6700"),(C74))))</formula>
    </cfRule>
  </conditionalFormatting>
  <conditionalFormatting sqref="L91 U91">
    <cfRule type="containsText" dxfId="0" priority="50" operator="containsText" text="15600">
      <formula>NOT(ISERROR(SEARCH(("15600"),(L91))))</formula>
    </cfRule>
  </conditionalFormatting>
  <conditionalFormatting sqref="L91 U91">
    <cfRule type="containsText" dxfId="0" priority="51" operator="containsText" text="6700">
      <formula>NOT(ISERROR(SEARCH(("6700"),(L91))))</formula>
    </cfRule>
  </conditionalFormatting>
  <conditionalFormatting sqref="J91 L91 S91 U91">
    <cfRule type="containsText" dxfId="0" priority="52" operator="containsText" text="6700">
      <formula>NOT(ISERROR(SEARCH(("6700"),(J91))))</formula>
    </cfRule>
  </conditionalFormatting>
  <conditionalFormatting sqref="L91 U91">
    <cfRule type="containsText" dxfId="0" priority="53" operator="containsText" text="6700">
      <formula>NOT(ISERROR(SEARCH(("6700"),(L91))))</formula>
    </cfRule>
  </conditionalFormatting>
  <conditionalFormatting sqref="L91 U91">
    <cfRule type="containsText" dxfId="0" priority="54" operator="containsText" text="15600">
      <formula>NOT(ISERROR(SEARCH(("15600"),(L91))))</formula>
    </cfRule>
  </conditionalFormatting>
  <conditionalFormatting sqref="J36:J38 S36:S38">
    <cfRule type="containsText" dxfId="0" priority="55" operator="containsText" text="10000">
      <formula>NOT(ISERROR(SEARCH(("10000"),(J36))))</formula>
    </cfRule>
  </conditionalFormatting>
  <conditionalFormatting sqref="L91 U91">
    <cfRule type="containsText" dxfId="0" priority="56" operator="containsText" text="6700">
      <formula>NOT(ISERROR(SEARCH(("6700"),(L91))))</formula>
    </cfRule>
  </conditionalFormatting>
  <conditionalFormatting sqref="L91 U91">
    <cfRule type="containsText" dxfId="0" priority="57" operator="containsText" text="15600">
      <formula>NOT(ISERROR(SEARCH(("15600"),(L91))))</formula>
    </cfRule>
  </conditionalFormatting>
  <conditionalFormatting sqref="U81:U92 C86:C91 L86:L92">
    <cfRule type="containsText" dxfId="0" priority="58" operator="containsText" text="6700">
      <formula>NOT(ISERROR(SEARCH(("6700"),(U81))))</formula>
    </cfRule>
  </conditionalFormatting>
  <conditionalFormatting sqref="U81:U92 C86:C91 L86:L92">
    <cfRule type="containsText" dxfId="0" priority="59" operator="containsText" text="15600">
      <formula>NOT(ISERROR(SEARCH(("15600"),(U81))))</formula>
    </cfRule>
  </conditionalFormatting>
  <conditionalFormatting sqref="S81:S92 U81:U92 A86:A91 C86:C91 J86:J92 L86:L92">
    <cfRule type="containsText" dxfId="0" priority="60" operator="containsText" text="6700">
      <formula>NOT(ISERROR(SEARCH(("6700"),(S81))))</formula>
    </cfRule>
  </conditionalFormatting>
  <conditionalFormatting sqref="U81:U92 C86:C91 L86:L92">
    <cfRule type="containsText" dxfId="0" priority="61" operator="containsText" text="10000">
      <formula>NOT(ISERROR(SEARCH(("10000"),(U81))))</formula>
    </cfRule>
  </conditionalFormatting>
  <conditionalFormatting sqref="L87:L88 U87:U88">
    <cfRule type="containsText" dxfId="0" priority="62" operator="containsText" text="15600">
      <formula>NOT(ISERROR(SEARCH(("15600"),(L87))))</formula>
    </cfRule>
  </conditionalFormatting>
  <conditionalFormatting sqref="J27:J28 S27:S28">
    <cfRule type="containsText" dxfId="0" priority="63" operator="containsText" text="3000">
      <formula>NOT(ISERROR(SEARCH(("3000"),(J27))))</formula>
    </cfRule>
  </conditionalFormatting>
  <conditionalFormatting sqref="J87:J90 S87:S90">
    <cfRule type="containsText" dxfId="0" priority="64" operator="containsText" text="3000">
      <formula>NOT(ISERROR(SEARCH(("3000"),(J87))))</formula>
    </cfRule>
  </conditionalFormatting>
  <conditionalFormatting sqref="U81:U92 C86:C91 L86:L92">
    <cfRule type="containsText" dxfId="0" priority="65" operator="containsText" text="6700">
      <formula>NOT(ISERROR(SEARCH(("6700"),(U81))))</formula>
    </cfRule>
  </conditionalFormatting>
  <conditionalFormatting sqref="U81:U92 C86:C91 L86:L92">
    <cfRule type="containsText" dxfId="0" priority="66" operator="containsText" text="15600">
      <formula>NOT(ISERROR(SEARCH(("15600"),(U81))))</formula>
    </cfRule>
  </conditionalFormatting>
  <conditionalFormatting sqref="A28 C28:C63 J28:J29 L28:L64 S28:S29 U28:U64 C67:C68 L67:L69 U67:U69 A71:A73 J71:J74 S71:S74">
    <cfRule type="containsText" dxfId="0" priority="67" operator="containsText" text="3000">
      <formula>NOT(ISERROR(SEARCH(("3000"),(A28))))</formula>
    </cfRule>
  </conditionalFormatting>
  <conditionalFormatting sqref="C73 L73:L74 U73:U74">
    <cfRule type="containsText" dxfId="0" priority="68" operator="containsText" text="3000">
      <formula>NOT(ISERROR(SEARCH(("3000"),(C73))))</formula>
    </cfRule>
  </conditionalFormatting>
  <conditionalFormatting sqref="J3:J13 S3:S13 A4:A12 U66:U73 C67:C72 L67:L73">
    <cfRule type="containsText" dxfId="0" priority="69" operator="containsText" text="15600">
      <formula>NOT(ISERROR(SEARCH(("15600"),(J3))))</formula>
    </cfRule>
  </conditionalFormatting>
  <conditionalFormatting sqref="C23:C89 L23:L90 U23:U90 A63:A90 J63:J91 S63:S91">
    <cfRule type="containsText" dxfId="0" priority="70" operator="containsText" text="6700">
      <formula>NOT(ISERROR(SEARCH(("6700"),(C23))))</formula>
    </cfRule>
  </conditionalFormatting>
  <conditionalFormatting sqref="C25:C85 L25:L88 U25:U88">
    <cfRule type="containsText" dxfId="0" priority="71" operator="containsText" text="15600">
      <formula>NOT(ISERROR(SEARCH(("15600"),(C25))))</formula>
    </cfRule>
  </conditionalFormatting>
  <conditionalFormatting sqref="C3:C85 L3:L88 U3:U88">
    <cfRule type="containsText" dxfId="0" priority="72" operator="containsText" text="6700">
      <formula>NOT(ISERROR(SEARCH(("6700"),(C3))))</formula>
    </cfRule>
  </conditionalFormatting>
  <conditionalFormatting sqref="C3:C93 L3:L97 U3:U97 L113 U113">
    <cfRule type="containsText" dxfId="0" priority="73" operator="containsText" text="3000">
      <formula>NOT(ISERROR(SEARCH(("3000"),(C3))))</formula>
    </cfRule>
  </conditionalFormatting>
  <conditionalFormatting sqref="C3:C98 L3:L99 U3:U99 A16:A111 J16:J112 S16:S112 C101:C103 L101:L104 U101:U104 C106:C110 L106:L111 U106:U111 L113 U113">
    <cfRule type="containsText" dxfId="0" priority="74" operator="containsText" text="5000">
      <formula>NOT(ISERROR(SEARCH(("5000"),(C3))))</formula>
    </cfRule>
  </conditionalFormatting>
  <conditionalFormatting sqref="A36 J36:J38 S36:S38 C37:C39 L37:L40 U37:U40 C42:C44 L42:L45 U42:U45 C49:C50 L49:L51 U49:U51 C65:C85 L65:L88 U65:U88">
    <cfRule type="containsText" dxfId="0" priority="75" operator="containsText" text="10000">
      <formula>NOT(ISERROR(SEARCH(("10000"),(A36))))</formula>
    </cfRule>
  </conditionalFormatting>
  <conditionalFormatting sqref="U77:U88 C81:C85 L81:L86">
    <cfRule type="containsText" dxfId="0" priority="76" operator="containsText" text="6700">
      <formula>NOT(ISERROR(SEARCH(("6700"),(U77))))</formula>
    </cfRule>
  </conditionalFormatting>
  <conditionalFormatting sqref="U77:U88 C81:C85 L81:L86">
    <cfRule type="containsText" dxfId="0" priority="77" operator="containsText" text="15600">
      <formula>NOT(ISERROR(SEARCH(("15600"),(U77))))</formula>
    </cfRule>
  </conditionalFormatting>
  <conditionalFormatting sqref="C44 L44:L45 U44:U45">
    <cfRule type="containsText" dxfId="0" priority="78" operator="containsText" text="10000">
      <formula>NOT(ISERROR(SEARCH(("10000"),(C44))))</formula>
    </cfRule>
  </conditionalFormatting>
  <conditionalFormatting sqref="C3:C44 L3:L45 U3:U45 A25:A40 J25:J52 S25:S52 A42:A51 C59:C93 L59:L97 U59:U97 L113 U113">
    <cfRule type="containsText" dxfId="0" priority="79" operator="containsText" text="7500">
      <formula>NOT(ISERROR(SEARCH(("7500"),(C3))))</formula>
    </cfRule>
  </conditionalFormatting>
  <conditionalFormatting sqref="C69:C72 L69:L73 U69:U73 U81:U83 C86:C87 L86:L88 U86:U88">
    <cfRule type="containsText" dxfId="0" priority="80" operator="containsText" text="15600">
      <formula>NOT(ISERROR(SEARCH(("15600"),(C69))))</formula>
    </cfRule>
  </conditionalFormatting>
  <conditionalFormatting sqref="C49:C85 L49:L88 U49:U88">
    <cfRule type="containsText" dxfId="0" priority="81" operator="containsText" text="15600">
      <formula>NOT(ISERROR(SEARCH(("15600"),(C49))))</formula>
    </cfRule>
  </conditionalFormatting>
  <conditionalFormatting sqref="C30:C62 L30:L63 U30:U63">
    <cfRule type="containsText" dxfId="0" priority="82" operator="containsText" text="3000">
      <formula>NOT(ISERROR(SEARCH(("3000"),(C30))))</formula>
    </cfRule>
  </conditionalFormatting>
  <conditionalFormatting sqref="C3:C93 L3:L97 U3:U97 A29:A47 J29:J48 S29:S48 A71:A73 J71:J74 S71:S74 S81:S95 A86:A90 J86:J95 A92:A93 L113 U113">
    <cfRule type="containsText" dxfId="0" priority="83" operator="containsText" text="22000">
      <formula>NOT(ISERROR(SEARCH(("22000"),(C3))))</formula>
    </cfRule>
  </conditionalFormatting>
  <conditionalFormatting sqref="C14:C104 L14:L104 U14:U104 A32:A95 J32:J95 S32:S95 A97 J97 S97 A110 C110 J110 L110 S110 U110 A114 C114 J114 L114 S114 U114 A122:A123 C122:C123 J122:J123 L122:L123 S122:S123 U122:U123 A126:A127 C126:C127 J126:J127 L126:L127 S126:S127 U126:U127">
    <cfRule type="containsText" dxfId="0" priority="84" operator="containsText" text="25500">
      <formula>NOT(ISERROR(SEARCH(("25500"),(C14))))</formula>
    </cfRule>
  </conditionalFormatting>
  <conditionalFormatting sqref="C69:C72 L69:L73 U69:U73 U81:U83 C86:C87 L86:L88 U86:U88">
    <cfRule type="containsText" dxfId="0" priority="85" operator="containsText" text="15600">
      <formula>NOT(ISERROR(SEARCH(("15600"),(C69))))</formula>
    </cfRule>
  </conditionalFormatting>
  <conditionalFormatting sqref="A3:A47 J3:J48 S3:S48 C55:C133 L55:L133 U55:U133 A86:A133 J86:J133 S86:S133">
    <cfRule type="containsText" dxfId="0" priority="86" operator="containsText" text="37500">
      <formula>NOT(ISERROR(SEARCH(("37500"),(A3))))</formula>
    </cfRule>
  </conditionalFormatting>
  <conditionalFormatting sqref="C59:C133 L59:L133 U59:U133">
    <cfRule type="containsText" dxfId="0" priority="87" operator="containsText" text="5500">
      <formula>NOT(ISERROR(SEARCH(("5500"),(C59))))</formula>
    </cfRule>
  </conditionalFormatting>
  <conditionalFormatting sqref="A3:A45 J3:J46 S3:S46 C59:C133 L59:L133 U59:U133 A105:A107 J105:J107 S105:S107 A109:A129 J109:J129 S109:S129">
    <cfRule type="containsText" dxfId="0" priority="88" operator="containsText" text="21700">
      <formula>NOT(ISERROR(SEARCH(("21700"),(A3))))</formula>
    </cfRule>
  </conditionalFormatting>
  <conditionalFormatting sqref="A3:A133 C3:C133 J3:J133 L3:L133 S3:S133 U3:U133 B66:B133 D66:D133 K66:K133 M66:M133 T66:T133 V66:V133">
    <cfRule type="containsText" dxfId="0" priority="89" operator="containsText" text="13300">
      <formula>NOT(ISERROR(SEARCH(("13300"),(A3))))</formula>
    </cfRule>
  </conditionalFormatting>
  <conditionalFormatting sqref="C27:C85 L27:L88 U27:U88">
    <cfRule type="containsText" dxfId="0" priority="90" operator="containsText" text="6700">
      <formula>NOT(ISERROR(SEARCH(("6700"),(C27))))</formula>
    </cfRule>
  </conditionalFormatting>
  <conditionalFormatting sqref="C28:C32 L28:L33 U28:U33">
    <cfRule type="containsText" dxfId="0" priority="91" operator="containsText" text="7500">
      <formula>NOT(ISERROR(SEARCH(("7500"),(C28))))</formula>
    </cfRule>
  </conditionalFormatting>
  <conditionalFormatting sqref="C23:C43 L23:L44 U23:U44">
    <cfRule type="containsText" dxfId="0" priority="92" operator="containsText" text="5000">
      <formula>NOT(ISERROR(SEARCH(("5000"),(C23))))</formula>
    </cfRule>
  </conditionalFormatting>
  <conditionalFormatting sqref="C15:C133 L15:L133 U15:U133 A28:A133 J28:J133 S28:S133 B66:B133 D66:D133 K66:K133 M66:M133 T66:T133 V66:V133">
    <cfRule type="containsText" dxfId="0" priority="93" operator="containsText" text="$6700">
      <formula>NOT(ISERROR(SEARCH(("$6700"),(C15))))</formula>
    </cfRule>
  </conditionalFormatting>
  <conditionalFormatting sqref="C13:C133 L13:L133 U13:U133 A27:A133 J27:J133 S27:S133 B66:B133 D66:D133 K66:K133 M66:M133 T66:T133 V66:V133">
    <cfRule type="containsText" dxfId="0" priority="94" operator="containsText" text="$25500">
      <formula>NOT(ISERROR(SEARCH(("$25500"),(C13))))</formula>
    </cfRule>
  </conditionalFormatting>
  <conditionalFormatting sqref="C15:C133 L15:L133 U15:U133 A28:A133 J28:J133 S28:S133 B66:B133 D66:D133 K66:K133 M66:M133 T66:T133 V66:V133">
    <cfRule type="containsText" dxfId="0" priority="95" operator="containsText" text="$13000">
      <formula>NOT(ISERROR(SEARCH(("$13000"),(C15))))</formula>
    </cfRule>
  </conditionalFormatting>
  <conditionalFormatting sqref="C15:C133 L15:L133 U15:U133 A28:A133 J28:J133 S28:S133 B66:B133 D66:D133 K66:K133 M66:M133 T66:T133 V66:V133">
    <cfRule type="containsText" dxfId="0" priority="96" operator="containsText" text="$22000">
      <formula>NOT(ISERROR(SEARCH(("$22000"),(C15))))</formula>
    </cfRule>
  </conditionalFormatting>
  <conditionalFormatting sqref="C3:C133 L3:L133 U3:U133 A15:A133 J15:J133 S15:S133 B66:B133 D66:D133 K66:K133 M66:M133 T66:T133 V66:V133">
    <cfRule type="containsText" dxfId="0" priority="97" operator="containsText" text="$5600">
      <formula>NOT(ISERROR(SEARCH(("$5600"),(C3))))</formula>
    </cfRule>
  </conditionalFormatting>
  <conditionalFormatting sqref="C3:C133 L3:L133 U3:U133 A15:A133 J15:J133 S15:S133 B66:B133 D66:D133 K66:K133 M66:M133 T66:T133 V66:V133">
    <cfRule type="containsText" dxfId="0" priority="98" operator="containsText" text="$10200">
      <formula>NOT(ISERROR(SEARCH(("$10200"),(C3))))</formula>
    </cfRule>
  </conditionalFormatting>
  <conditionalFormatting sqref="C15:C133 L15:L133 U15:U133 A37:A133 J37:J133 S37:S133 B66:B133 D66:D133 K66:K133 M66:M133 T66:T133 V66:V133">
    <cfRule type="containsText" dxfId="0" priority="99" operator="containsText" text="$4300">
      <formula>NOT(ISERROR(SEARCH(("$4300"),(C15))))</formula>
    </cfRule>
  </conditionalFormatting>
  <conditionalFormatting sqref="C3:C133 L3:L133 U3:U133 A15:A133 J15:J133 S15:S133 B66:B133 D66:D133 K66:K133 M66:M133 T66:T133 V66:V133">
    <cfRule type="containsText" dxfId="0" priority="100" operator="containsText" text="9400">
      <formula>NOT(ISERROR(SEARCH(("9400"),(C3))))</formula>
    </cfRule>
  </conditionalFormatting>
  <conditionalFormatting sqref="A14:A51 C14:C133 J14:J52 L14:L133 S14:S52 U14:U133 A86:A133 J86:J133 S86:S133">
    <cfRule type="containsText" dxfId="0" priority="101" operator="containsText" text="$5500">
      <formula>NOT(ISERROR(SEARCH(("$5500"),(A14))))</formula>
    </cfRule>
  </conditionalFormatting>
  <conditionalFormatting sqref="A1:G133 J1:P133 S1:Y133">
    <cfRule type="beginsWith" dxfId="2" priority="102" operator="beginsWith" text="$0">
      <formula>LEFT((A1),LEN("$0"))=("$0")</formula>
    </cfRule>
  </conditionalFormatting>
  <conditionalFormatting sqref="C3:C133 L3:L133 U3:U133 A15:A133 D15:D133 J15:J133 M15:M133 S15:S133 V15:V133 B29:B133 K29:K133 T29:T133">
    <cfRule type="containsText" dxfId="0" priority="103" operator="containsText" text="$8700">
      <formula>NOT(ISERROR(SEARCH(("$8700"),(C3))))</formula>
    </cfRule>
  </conditionalFormatting>
  <conditionalFormatting sqref="B3:B133 K3:K133 T3:T133 G23:G133 P23:P133 Y23:Y133 E37:E133 N37:N133 W37:W133 F55:F133 O55:O133 X55:X133">
    <cfRule type="cellIs" dxfId="1" priority="104" operator="between">
      <formula>1</formula>
      <formula>1000000</formula>
    </cfRule>
  </conditionalFormatting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4"/>
    </row>
    <row r="2">
      <c r="I2" s="4"/>
    </row>
    <row r="3">
      <c r="I3" s="4"/>
    </row>
    <row r="4">
      <c r="G4" s="27" t="s">
        <v>134</v>
      </c>
      <c r="H4" s="27" t="s">
        <v>135</v>
      </c>
      <c r="I4" s="4"/>
    </row>
    <row r="5">
      <c r="G5" s="27">
        <v>35.0</v>
      </c>
      <c r="H5" s="27">
        <v>12700.0</v>
      </c>
      <c r="I5" s="4">
        <f t="shared" ref="I5:I39" si="1">G5*H5</f>
        <v>444500</v>
      </c>
    </row>
    <row r="6">
      <c r="G6" s="27">
        <v>10.0</v>
      </c>
      <c r="H6" s="27">
        <v>13000.0</v>
      </c>
      <c r="I6" s="4">
        <f t="shared" si="1"/>
        <v>130000</v>
      </c>
    </row>
    <row r="7">
      <c r="G7" s="27">
        <v>70.0</v>
      </c>
      <c r="H7" s="27">
        <v>9000.0</v>
      </c>
      <c r="I7" s="4">
        <f t="shared" si="1"/>
        <v>630000</v>
      </c>
    </row>
    <row r="8">
      <c r="G8" s="27">
        <v>85.0</v>
      </c>
      <c r="H8" s="27">
        <v>3200.0</v>
      </c>
      <c r="I8" s="4">
        <f t="shared" si="1"/>
        <v>272000</v>
      </c>
    </row>
    <row r="9">
      <c r="G9" s="27">
        <v>95.0</v>
      </c>
      <c r="H9" s="27">
        <v>8400.0</v>
      </c>
      <c r="I9" s="4">
        <f t="shared" si="1"/>
        <v>798000</v>
      </c>
    </row>
    <row r="10">
      <c r="G10" s="27">
        <v>125.0</v>
      </c>
      <c r="H10" s="27">
        <v>6600.0</v>
      </c>
      <c r="I10" s="4">
        <f t="shared" si="1"/>
        <v>825000</v>
      </c>
    </row>
    <row r="11">
      <c r="G11" s="27">
        <v>55.0</v>
      </c>
      <c r="H11" s="27">
        <v>5700.0</v>
      </c>
      <c r="I11" s="4">
        <f t="shared" si="1"/>
        <v>313500</v>
      </c>
    </row>
    <row r="12">
      <c r="G12" s="27">
        <v>55.0</v>
      </c>
      <c r="H12" s="27">
        <v>5700.0</v>
      </c>
      <c r="I12" s="4">
        <f t="shared" si="1"/>
        <v>313500</v>
      </c>
    </row>
    <row r="13">
      <c r="I13" s="4">
        <f t="shared" si="1"/>
        <v>0</v>
      </c>
    </row>
    <row r="14">
      <c r="I14" s="4">
        <f t="shared" si="1"/>
        <v>0</v>
      </c>
    </row>
    <row r="15">
      <c r="I15" s="4">
        <f t="shared" si="1"/>
        <v>0</v>
      </c>
    </row>
    <row r="16">
      <c r="I16" s="4">
        <f t="shared" si="1"/>
        <v>0</v>
      </c>
    </row>
    <row r="17">
      <c r="I17" s="4">
        <f t="shared" si="1"/>
        <v>0</v>
      </c>
    </row>
    <row r="18">
      <c r="I18" s="4">
        <f t="shared" si="1"/>
        <v>0</v>
      </c>
    </row>
    <row r="19">
      <c r="I19" s="4">
        <f t="shared" si="1"/>
        <v>0</v>
      </c>
    </row>
    <row r="20">
      <c r="I20" s="4">
        <f t="shared" si="1"/>
        <v>0</v>
      </c>
    </row>
    <row r="21">
      <c r="I21" s="4">
        <f t="shared" si="1"/>
        <v>0</v>
      </c>
    </row>
    <row r="22">
      <c r="I22" s="4">
        <f t="shared" si="1"/>
        <v>0</v>
      </c>
    </row>
    <row r="23">
      <c r="I23" s="4">
        <f t="shared" si="1"/>
        <v>0</v>
      </c>
    </row>
    <row r="24">
      <c r="I24" s="4">
        <f t="shared" si="1"/>
        <v>0</v>
      </c>
    </row>
    <row r="25">
      <c r="I25" s="4">
        <f t="shared" si="1"/>
        <v>0</v>
      </c>
    </row>
    <row r="26">
      <c r="I26" s="4">
        <f t="shared" si="1"/>
        <v>0</v>
      </c>
    </row>
    <row r="27">
      <c r="I27" s="4">
        <f t="shared" si="1"/>
        <v>0</v>
      </c>
    </row>
    <row r="28">
      <c r="I28" s="4">
        <f t="shared" si="1"/>
        <v>0</v>
      </c>
    </row>
    <row r="29">
      <c r="I29" s="4">
        <f t="shared" si="1"/>
        <v>0</v>
      </c>
    </row>
    <row r="30">
      <c r="I30" s="4">
        <f t="shared" si="1"/>
        <v>0</v>
      </c>
    </row>
    <row r="31">
      <c r="I31" s="4">
        <f t="shared" si="1"/>
        <v>0</v>
      </c>
    </row>
    <row r="32">
      <c r="I32" s="4">
        <f t="shared" si="1"/>
        <v>0</v>
      </c>
    </row>
    <row r="33">
      <c r="I33" s="4">
        <f t="shared" si="1"/>
        <v>0</v>
      </c>
    </row>
    <row r="34">
      <c r="I34" s="4">
        <f t="shared" si="1"/>
        <v>0</v>
      </c>
    </row>
    <row r="35">
      <c r="I35" s="4">
        <f t="shared" si="1"/>
        <v>0</v>
      </c>
    </row>
    <row r="36">
      <c r="I36" s="4">
        <f t="shared" si="1"/>
        <v>0</v>
      </c>
    </row>
    <row r="37">
      <c r="I37" s="4">
        <f t="shared" si="1"/>
        <v>0</v>
      </c>
    </row>
    <row r="38">
      <c r="I38" s="4">
        <f t="shared" si="1"/>
        <v>0</v>
      </c>
    </row>
    <row r="39">
      <c r="I39" s="4">
        <f t="shared" si="1"/>
        <v>0</v>
      </c>
    </row>
    <row r="40">
      <c r="I40" s="4"/>
    </row>
    <row r="41">
      <c r="I41" s="4"/>
    </row>
    <row r="42">
      <c r="I42" s="4"/>
    </row>
    <row r="43">
      <c r="I43" s="4"/>
    </row>
    <row r="44">
      <c r="I44" s="4"/>
    </row>
    <row r="45">
      <c r="I45" s="4"/>
    </row>
    <row r="46">
      <c r="I46" s="4"/>
    </row>
    <row r="47">
      <c r="I47" s="4"/>
    </row>
    <row r="48">
      <c r="I48" s="4"/>
    </row>
    <row r="49">
      <c r="I49" s="4"/>
    </row>
    <row r="50">
      <c r="I50" s="4"/>
    </row>
    <row r="51">
      <c r="I51" s="4"/>
    </row>
    <row r="52">
      <c r="I52" s="4"/>
    </row>
    <row r="53">
      <c r="I53" s="4"/>
    </row>
    <row r="54">
      <c r="I54" s="4"/>
    </row>
    <row r="55">
      <c r="I55" s="4"/>
    </row>
    <row r="56">
      <c r="I56" s="4"/>
    </row>
    <row r="57">
      <c r="I57" s="4"/>
    </row>
    <row r="58">
      <c r="I58" s="4"/>
    </row>
    <row r="59">
      <c r="I59" s="4"/>
    </row>
    <row r="60">
      <c r="I60" s="4"/>
    </row>
    <row r="61">
      <c r="I61" s="4"/>
    </row>
    <row r="62">
      <c r="I62" s="4"/>
    </row>
    <row r="63">
      <c r="I63" s="4"/>
    </row>
    <row r="64">
      <c r="I64" s="4"/>
    </row>
    <row r="65">
      <c r="I65" s="4"/>
    </row>
    <row r="66">
      <c r="I66" s="4"/>
    </row>
    <row r="67">
      <c r="I67" s="4"/>
    </row>
    <row r="68">
      <c r="I68" s="4"/>
    </row>
    <row r="69">
      <c r="I69" s="4"/>
    </row>
    <row r="70">
      <c r="I70" s="4"/>
    </row>
    <row r="71">
      <c r="I71" s="4"/>
    </row>
    <row r="72">
      <c r="I72" s="4"/>
    </row>
    <row r="73">
      <c r="I73" s="4"/>
    </row>
    <row r="74">
      <c r="I74" s="4"/>
    </row>
    <row r="75">
      <c r="I75" s="4"/>
    </row>
    <row r="76">
      <c r="I76" s="4"/>
    </row>
    <row r="77">
      <c r="I77" s="4"/>
    </row>
    <row r="78">
      <c r="I78" s="4"/>
    </row>
    <row r="79">
      <c r="I79" s="4"/>
    </row>
    <row r="80">
      <c r="I80" s="4"/>
    </row>
    <row r="81">
      <c r="I81" s="4"/>
    </row>
    <row r="82">
      <c r="I82" s="4"/>
    </row>
    <row r="83">
      <c r="I83" s="4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75"/>
    <col customWidth="1" min="8" max="8" width="24.0"/>
    <col customWidth="1" min="12" max="12" width="71.25"/>
  </cols>
  <sheetData>
    <row r="1">
      <c r="H1" s="126" t="s">
        <v>136</v>
      </c>
      <c r="L1" s="127" t="s">
        <v>137</v>
      </c>
    </row>
    <row r="2">
      <c r="H2" s="126" t="s">
        <v>138</v>
      </c>
      <c r="L2" s="127" t="s">
        <v>139</v>
      </c>
    </row>
    <row r="3">
      <c r="H3" s="126" t="s">
        <v>140</v>
      </c>
      <c r="L3" s="127" t="s">
        <v>141</v>
      </c>
    </row>
    <row r="4">
      <c r="H4" s="126" t="s">
        <v>142</v>
      </c>
      <c r="L4" s="127" t="s">
        <v>143</v>
      </c>
    </row>
    <row r="5">
      <c r="H5" s="126" t="s">
        <v>144</v>
      </c>
      <c r="L5" s="127" t="s">
        <v>145</v>
      </c>
    </row>
    <row r="6">
      <c r="C6" s="27" t="s">
        <v>146</v>
      </c>
      <c r="H6" s="128"/>
      <c r="L6" s="127" t="s">
        <v>147</v>
      </c>
    </row>
    <row r="7">
      <c r="C7" s="27" t="s">
        <v>148</v>
      </c>
      <c r="D7" s="27">
        <v>5000.0</v>
      </c>
      <c r="E7" s="27" t="s">
        <v>149</v>
      </c>
      <c r="F7" s="27">
        <v>2000.0</v>
      </c>
      <c r="H7" s="128"/>
      <c r="L7" s="127" t="s">
        <v>150</v>
      </c>
    </row>
    <row r="8">
      <c r="E8" s="27"/>
      <c r="H8" s="128"/>
      <c r="L8" s="127" t="s">
        <v>151</v>
      </c>
    </row>
    <row r="9">
      <c r="H9" s="128"/>
      <c r="L9" s="129"/>
    </row>
    <row r="10">
      <c r="H10" s="128"/>
      <c r="L10" s="129"/>
    </row>
    <row r="11">
      <c r="H11" s="128"/>
      <c r="L11" s="129"/>
    </row>
    <row r="12">
      <c r="H12" s="128"/>
      <c r="L12" s="129"/>
    </row>
    <row r="13">
      <c r="H13" s="128"/>
      <c r="L13" s="129"/>
    </row>
    <row r="14">
      <c r="H14" s="130"/>
      <c r="I14" s="111"/>
      <c r="L14" s="129"/>
    </row>
    <row r="15">
      <c r="H15" s="130"/>
      <c r="I15" s="110"/>
      <c r="L15" s="129"/>
    </row>
    <row r="16">
      <c r="H16" s="130"/>
      <c r="L16" s="129"/>
    </row>
    <row r="17">
      <c r="H17" s="130"/>
      <c r="L17" s="129"/>
    </row>
    <row r="18">
      <c r="H18" s="130"/>
      <c r="L18" s="129"/>
    </row>
    <row r="19">
      <c r="H19" s="130"/>
      <c r="L19" s="129"/>
    </row>
    <row r="20">
      <c r="H20" s="130"/>
      <c r="L20" s="129"/>
    </row>
    <row r="21">
      <c r="H21" s="130"/>
      <c r="L21" s="129"/>
    </row>
    <row r="22">
      <c r="H22" s="130"/>
      <c r="L22" s="129"/>
    </row>
    <row r="23">
      <c r="H23" s="130"/>
      <c r="L23" s="129"/>
    </row>
    <row r="24">
      <c r="H24" s="130"/>
      <c r="L24" s="129"/>
    </row>
    <row r="25">
      <c r="H25" s="130"/>
      <c r="L25" s="129"/>
    </row>
    <row r="26">
      <c r="H26" s="131"/>
      <c r="L26" s="129"/>
    </row>
    <row r="27">
      <c r="H27" s="131"/>
      <c r="L27" s="129"/>
    </row>
    <row r="28">
      <c r="H28" s="131"/>
      <c r="L28" s="129"/>
    </row>
    <row r="29">
      <c r="H29" s="131"/>
      <c r="L29" s="129"/>
    </row>
    <row r="30">
      <c r="H30" s="131"/>
      <c r="L30" s="129"/>
    </row>
    <row r="31">
      <c r="H31" s="130"/>
      <c r="L31" s="129"/>
    </row>
    <row r="32">
      <c r="H32" s="130"/>
      <c r="L32" s="129"/>
    </row>
    <row r="33">
      <c r="H33" s="131"/>
      <c r="L33" s="129"/>
    </row>
    <row r="34">
      <c r="H34" s="131"/>
      <c r="L34" s="129"/>
    </row>
    <row r="35">
      <c r="H35" s="131"/>
      <c r="L35" s="129"/>
    </row>
    <row r="36">
      <c r="H36" s="131"/>
      <c r="L36" s="129"/>
    </row>
    <row r="37">
      <c r="H37" s="131"/>
      <c r="L37" s="129"/>
    </row>
    <row r="38">
      <c r="H38" s="131"/>
      <c r="L38" s="129"/>
    </row>
    <row r="39">
      <c r="H39" s="128"/>
      <c r="L39" s="129"/>
    </row>
    <row r="40">
      <c r="H40" s="128"/>
      <c r="L40" s="129"/>
    </row>
    <row r="41">
      <c r="H41" s="128"/>
      <c r="L41" s="129"/>
    </row>
    <row r="42">
      <c r="H42" s="128"/>
      <c r="L42" s="129"/>
    </row>
    <row r="43">
      <c r="H43" s="128"/>
      <c r="L43" s="129"/>
    </row>
    <row r="44">
      <c r="H44" s="128"/>
      <c r="L44" s="129"/>
    </row>
    <row r="45">
      <c r="H45" s="128"/>
      <c r="L45" s="129"/>
    </row>
    <row r="46">
      <c r="H46" s="128"/>
      <c r="I46" s="27" t="s">
        <v>152</v>
      </c>
      <c r="L46" s="129"/>
    </row>
    <row r="47">
      <c r="H47" s="128"/>
      <c r="L47" s="129"/>
    </row>
    <row r="48">
      <c r="H48" s="128"/>
      <c r="I48" s="27" t="s">
        <v>153</v>
      </c>
      <c r="L48" s="129"/>
    </row>
    <row r="49">
      <c r="H49" s="128"/>
      <c r="I49" s="132" t="s">
        <v>154</v>
      </c>
      <c r="L49" s="129"/>
    </row>
    <row r="50">
      <c r="H50" s="128"/>
      <c r="I50" s="27" t="s">
        <v>155</v>
      </c>
      <c r="L50" s="129"/>
    </row>
    <row r="51">
      <c r="H51" s="128"/>
      <c r="I51" s="133" t="s">
        <v>156</v>
      </c>
      <c r="L51" s="129"/>
    </row>
    <row r="52">
      <c r="H52" s="128"/>
      <c r="I52" s="27" t="s">
        <v>157</v>
      </c>
      <c r="L52" s="129"/>
    </row>
    <row r="53">
      <c r="E53" s="133" t="s">
        <v>158</v>
      </c>
      <c r="H53" s="128"/>
      <c r="I53" s="133" t="s">
        <v>159</v>
      </c>
      <c r="L53" s="129"/>
    </row>
    <row r="54">
      <c r="H54" s="128"/>
      <c r="L54" s="129"/>
    </row>
    <row r="55">
      <c r="H55" s="128"/>
      <c r="I55" s="27" t="s">
        <v>160</v>
      </c>
      <c r="L55" s="129"/>
    </row>
    <row r="56">
      <c r="H56" s="128"/>
      <c r="L56" s="129"/>
    </row>
    <row r="57">
      <c r="H57" s="128"/>
      <c r="L57" s="129"/>
    </row>
    <row r="58">
      <c r="H58" s="128"/>
      <c r="L58" s="129"/>
    </row>
    <row r="59">
      <c r="H59" s="128"/>
      <c r="L59" s="129"/>
    </row>
    <row r="60">
      <c r="D60" s="27" t="s">
        <v>161</v>
      </c>
      <c r="H60" s="128"/>
      <c r="L60" s="129"/>
    </row>
    <row r="61">
      <c r="H61" s="128"/>
      <c r="L61" s="129"/>
    </row>
    <row r="62">
      <c r="D62" s="27" t="s">
        <v>162</v>
      </c>
      <c r="H62" s="128"/>
      <c r="L62" s="129"/>
    </row>
    <row r="63">
      <c r="D63" s="132" t="s">
        <v>163</v>
      </c>
      <c r="H63" s="128"/>
      <c r="L63" s="129"/>
    </row>
    <row r="64">
      <c r="D64" s="27" t="s">
        <v>164</v>
      </c>
      <c r="H64" s="128"/>
      <c r="L64" s="129"/>
    </row>
    <row r="65">
      <c r="D65" s="133" t="s">
        <v>165</v>
      </c>
      <c r="H65" s="128"/>
      <c r="L65" s="129"/>
    </row>
    <row r="66">
      <c r="H66" s="128"/>
      <c r="L66" s="129"/>
    </row>
    <row r="67">
      <c r="H67" s="128"/>
      <c r="L67" s="129"/>
    </row>
    <row r="68">
      <c r="H68" s="128"/>
      <c r="L68" s="129"/>
    </row>
    <row r="69">
      <c r="H69" s="128"/>
      <c r="L69" s="129"/>
    </row>
    <row r="70">
      <c r="H70" s="128"/>
      <c r="L70" s="129"/>
    </row>
    <row r="71">
      <c r="H71" s="128"/>
      <c r="L71" s="129"/>
    </row>
    <row r="72">
      <c r="H72" s="128"/>
      <c r="L72" s="129"/>
    </row>
    <row r="73">
      <c r="H73" s="128"/>
      <c r="L73" s="129"/>
    </row>
    <row r="74">
      <c r="H74" s="128"/>
      <c r="L74" s="129"/>
    </row>
    <row r="75">
      <c r="H75" s="128"/>
      <c r="L75" s="129"/>
    </row>
    <row r="76">
      <c r="H76" s="128"/>
      <c r="L76" s="129"/>
    </row>
    <row r="77">
      <c r="H77" s="128"/>
      <c r="L77" s="129"/>
    </row>
    <row r="78">
      <c r="H78" s="128"/>
      <c r="L78" s="129"/>
    </row>
    <row r="79">
      <c r="H79" s="128"/>
      <c r="L79" s="129"/>
    </row>
    <row r="80">
      <c r="H80" s="128"/>
      <c r="L80" s="129"/>
    </row>
    <row r="81">
      <c r="H81" s="128"/>
      <c r="L81" s="129"/>
    </row>
    <row r="82">
      <c r="H82" s="128"/>
      <c r="L82" s="129"/>
    </row>
    <row r="83">
      <c r="H83" s="128"/>
      <c r="L83" s="129"/>
    </row>
    <row r="84">
      <c r="H84" s="128"/>
      <c r="L84" s="129"/>
    </row>
    <row r="85">
      <c r="H85" s="128"/>
      <c r="L85" s="129"/>
    </row>
    <row r="86">
      <c r="H86" s="128"/>
      <c r="L86" s="129"/>
    </row>
    <row r="87">
      <c r="H87" s="128"/>
      <c r="L87" s="129"/>
    </row>
    <row r="88">
      <c r="H88" s="128"/>
      <c r="L88" s="129"/>
    </row>
    <row r="89">
      <c r="H89" s="128"/>
      <c r="L89" s="129"/>
    </row>
    <row r="90">
      <c r="H90" s="128"/>
      <c r="L90" s="129"/>
    </row>
    <row r="91">
      <c r="H91" s="128"/>
      <c r="L91" s="129"/>
    </row>
    <row r="92">
      <c r="H92" s="128"/>
      <c r="L92" s="129"/>
    </row>
    <row r="93">
      <c r="H93" s="128"/>
      <c r="L93" s="129"/>
    </row>
    <row r="94">
      <c r="H94" s="128"/>
      <c r="L94" s="129"/>
    </row>
    <row r="95">
      <c r="H95" s="128"/>
      <c r="L95" s="129"/>
    </row>
    <row r="96">
      <c r="H96" s="128"/>
      <c r="L96" s="129"/>
    </row>
    <row r="97">
      <c r="H97" s="128"/>
      <c r="L97" s="129"/>
    </row>
    <row r="98">
      <c r="H98" s="128"/>
      <c r="L98" s="129"/>
    </row>
    <row r="99">
      <c r="H99" s="128"/>
      <c r="L99" s="129"/>
    </row>
    <row r="100">
      <c r="H100" s="128"/>
      <c r="L100" s="129"/>
    </row>
    <row r="101">
      <c r="H101" s="128"/>
      <c r="L101" s="129"/>
    </row>
    <row r="102">
      <c r="H102" s="128"/>
      <c r="L102" s="129"/>
    </row>
    <row r="103">
      <c r="H103" s="128"/>
      <c r="L103" s="129"/>
    </row>
    <row r="104">
      <c r="H104" s="128"/>
      <c r="L104" s="129"/>
    </row>
    <row r="105">
      <c r="H105" s="128"/>
      <c r="L105" s="129"/>
    </row>
    <row r="106">
      <c r="H106" s="128"/>
      <c r="L106" s="129"/>
    </row>
    <row r="107">
      <c r="H107" s="128"/>
      <c r="L107" s="129"/>
    </row>
    <row r="108">
      <c r="H108" s="128"/>
      <c r="L108" s="129"/>
    </row>
    <row r="109">
      <c r="H109" s="128"/>
      <c r="L109" s="129"/>
    </row>
    <row r="110">
      <c r="H110" s="128"/>
      <c r="L110" s="129"/>
    </row>
    <row r="111">
      <c r="H111" s="128"/>
      <c r="L111" s="129"/>
    </row>
    <row r="112">
      <c r="H112" s="128"/>
      <c r="L112" s="129"/>
    </row>
    <row r="113">
      <c r="H113" s="128"/>
      <c r="L113" s="129"/>
    </row>
    <row r="114">
      <c r="H114" s="128"/>
      <c r="L114" s="129"/>
    </row>
    <row r="115">
      <c r="H115" s="128"/>
      <c r="L115" s="129"/>
    </row>
    <row r="116">
      <c r="H116" s="128"/>
      <c r="L116" s="129"/>
    </row>
    <row r="117">
      <c r="H117" s="128"/>
      <c r="L117" s="129"/>
    </row>
    <row r="118">
      <c r="H118" s="128"/>
      <c r="L118" s="129"/>
    </row>
    <row r="119">
      <c r="H119" s="128"/>
      <c r="L119" s="129"/>
    </row>
    <row r="120">
      <c r="H120" s="128"/>
      <c r="L120" s="129"/>
    </row>
    <row r="121">
      <c r="H121" s="128"/>
      <c r="L121" s="129"/>
    </row>
    <row r="122">
      <c r="H122" s="128"/>
      <c r="L122" s="129"/>
    </row>
    <row r="123">
      <c r="H123" s="128"/>
      <c r="L123" s="129"/>
    </row>
    <row r="124">
      <c r="H124" s="128"/>
      <c r="L124" s="129"/>
    </row>
    <row r="125">
      <c r="H125" s="128"/>
      <c r="L125" s="129"/>
    </row>
    <row r="126">
      <c r="H126" s="128"/>
      <c r="L126" s="129"/>
    </row>
    <row r="127">
      <c r="H127" s="128"/>
      <c r="L127" s="129"/>
    </row>
    <row r="128">
      <c r="H128" s="128"/>
      <c r="L128" s="129"/>
    </row>
    <row r="129">
      <c r="H129" s="128"/>
      <c r="L129" s="129"/>
    </row>
    <row r="130">
      <c r="H130" s="128"/>
      <c r="L130" s="129"/>
    </row>
    <row r="131">
      <c r="H131" s="128"/>
      <c r="L131" s="129"/>
    </row>
    <row r="132">
      <c r="H132" s="128"/>
      <c r="L132" s="129"/>
    </row>
    <row r="133">
      <c r="H133" s="128"/>
      <c r="L133" s="129"/>
    </row>
    <row r="134">
      <c r="H134" s="128"/>
      <c r="L134" s="129"/>
    </row>
    <row r="135">
      <c r="H135" s="128"/>
      <c r="L135" s="129"/>
    </row>
    <row r="136">
      <c r="H136" s="128"/>
      <c r="L136" s="129"/>
    </row>
    <row r="137">
      <c r="H137" s="128"/>
      <c r="L137" s="129"/>
    </row>
    <row r="138">
      <c r="H138" s="128"/>
      <c r="L138" s="129"/>
    </row>
    <row r="139">
      <c r="H139" s="128"/>
      <c r="L139" s="129"/>
    </row>
    <row r="140">
      <c r="H140" s="128"/>
      <c r="L140" s="129"/>
    </row>
    <row r="141">
      <c r="H141" s="128"/>
      <c r="L141" s="129"/>
    </row>
    <row r="142">
      <c r="H142" s="128"/>
      <c r="L142" s="129"/>
    </row>
    <row r="143">
      <c r="H143" s="128"/>
      <c r="L143" s="129"/>
    </row>
    <row r="144">
      <c r="H144" s="128"/>
      <c r="L144" s="129"/>
    </row>
    <row r="145">
      <c r="H145" s="128"/>
      <c r="L145" s="129"/>
    </row>
    <row r="146">
      <c r="H146" s="128"/>
      <c r="L146" s="129"/>
    </row>
    <row r="147">
      <c r="H147" s="128"/>
      <c r="L147" s="129"/>
    </row>
    <row r="148">
      <c r="H148" s="128"/>
      <c r="L148" s="129"/>
    </row>
    <row r="149">
      <c r="H149" s="128"/>
      <c r="L149" s="129"/>
    </row>
    <row r="150">
      <c r="H150" s="128"/>
      <c r="L150" s="129"/>
    </row>
    <row r="151">
      <c r="H151" s="128"/>
      <c r="L151" s="129"/>
    </row>
    <row r="152">
      <c r="H152" s="128"/>
      <c r="L152" s="129"/>
    </row>
    <row r="153">
      <c r="H153" s="128"/>
      <c r="L153" s="129"/>
    </row>
    <row r="154">
      <c r="H154" s="128"/>
      <c r="L154" s="129"/>
    </row>
    <row r="155">
      <c r="H155" s="128"/>
      <c r="L155" s="129"/>
    </row>
    <row r="156">
      <c r="H156" s="128"/>
      <c r="L156" s="129"/>
    </row>
    <row r="157">
      <c r="H157" s="128"/>
      <c r="L157" s="129"/>
    </row>
    <row r="158">
      <c r="H158" s="128"/>
      <c r="L158" s="129"/>
    </row>
    <row r="159">
      <c r="H159" s="128"/>
      <c r="L159" s="129"/>
    </row>
    <row r="160">
      <c r="H160" s="128"/>
      <c r="L160" s="129"/>
    </row>
    <row r="161">
      <c r="H161" s="128"/>
      <c r="L161" s="129"/>
    </row>
    <row r="162">
      <c r="H162" s="128"/>
      <c r="L162" s="129"/>
    </row>
    <row r="163">
      <c r="H163" s="128"/>
      <c r="L163" s="129"/>
    </row>
    <row r="164">
      <c r="H164" s="128"/>
      <c r="L164" s="129"/>
    </row>
    <row r="165">
      <c r="H165" s="128"/>
      <c r="L165" s="129"/>
    </row>
    <row r="166">
      <c r="H166" s="128"/>
      <c r="L166" s="129"/>
    </row>
    <row r="167">
      <c r="H167" s="128"/>
      <c r="L167" s="129"/>
    </row>
    <row r="168">
      <c r="H168" s="128"/>
      <c r="L168" s="129"/>
    </row>
    <row r="169">
      <c r="H169" s="128"/>
      <c r="L169" s="129"/>
    </row>
    <row r="170">
      <c r="H170" s="128"/>
      <c r="L170" s="129"/>
    </row>
    <row r="171">
      <c r="H171" s="128"/>
      <c r="L171" s="129"/>
    </row>
    <row r="172">
      <c r="H172" s="128"/>
      <c r="L172" s="129"/>
    </row>
    <row r="173">
      <c r="H173" s="128"/>
      <c r="L173" s="129"/>
    </row>
    <row r="174">
      <c r="H174" s="128"/>
      <c r="L174" s="129"/>
    </row>
    <row r="175">
      <c r="H175" s="128"/>
      <c r="L175" s="129"/>
    </row>
    <row r="176">
      <c r="H176" s="128"/>
      <c r="L176" s="129"/>
    </row>
    <row r="177">
      <c r="H177" s="128"/>
      <c r="L177" s="129"/>
    </row>
    <row r="178">
      <c r="H178" s="128"/>
      <c r="L178" s="129"/>
    </row>
    <row r="179">
      <c r="H179" s="128"/>
      <c r="L179" s="129"/>
    </row>
    <row r="180">
      <c r="H180" s="128"/>
      <c r="L180" s="129"/>
    </row>
    <row r="181">
      <c r="H181" s="128"/>
      <c r="L181" s="129"/>
    </row>
    <row r="182">
      <c r="H182" s="128"/>
      <c r="L182" s="129"/>
    </row>
    <row r="183">
      <c r="H183" s="128"/>
      <c r="L183" s="129"/>
    </row>
    <row r="184">
      <c r="H184" s="128"/>
      <c r="L184" s="129"/>
    </row>
    <row r="185">
      <c r="H185" s="128"/>
      <c r="L185" s="129"/>
    </row>
    <row r="186">
      <c r="H186" s="128"/>
      <c r="L186" s="129"/>
    </row>
    <row r="187">
      <c r="H187" s="128"/>
      <c r="L187" s="129"/>
    </row>
    <row r="188">
      <c r="H188" s="128"/>
      <c r="L188" s="129"/>
    </row>
    <row r="189">
      <c r="H189" s="128"/>
      <c r="L189" s="129"/>
    </row>
    <row r="190">
      <c r="H190" s="128"/>
      <c r="L190" s="129"/>
    </row>
    <row r="191">
      <c r="H191" s="128"/>
      <c r="L191" s="129"/>
    </row>
    <row r="192">
      <c r="H192" s="128"/>
      <c r="L192" s="129"/>
    </row>
    <row r="193">
      <c r="H193" s="128"/>
      <c r="L193" s="129"/>
    </row>
    <row r="194">
      <c r="H194" s="128"/>
      <c r="L194" s="129"/>
    </row>
    <row r="195">
      <c r="H195" s="128"/>
      <c r="L195" s="129"/>
    </row>
    <row r="196">
      <c r="H196" s="128"/>
      <c r="L196" s="129"/>
    </row>
    <row r="197">
      <c r="H197" s="128"/>
      <c r="L197" s="129"/>
    </row>
    <row r="198">
      <c r="H198" s="128"/>
      <c r="L198" s="129"/>
    </row>
    <row r="199">
      <c r="H199" s="128"/>
      <c r="L199" s="129"/>
    </row>
    <row r="200">
      <c r="H200" s="128"/>
      <c r="L200" s="129"/>
    </row>
    <row r="201">
      <c r="H201" s="128"/>
      <c r="L201" s="129"/>
    </row>
    <row r="202">
      <c r="H202" s="128"/>
      <c r="L202" s="129"/>
    </row>
    <row r="203">
      <c r="H203" s="128"/>
      <c r="L203" s="129"/>
    </row>
    <row r="204">
      <c r="H204" s="128"/>
      <c r="L204" s="129"/>
    </row>
    <row r="205">
      <c r="H205" s="128"/>
      <c r="L205" s="129"/>
    </row>
    <row r="206">
      <c r="H206" s="128"/>
      <c r="L206" s="129"/>
    </row>
    <row r="207">
      <c r="H207" s="128"/>
      <c r="L207" s="129"/>
    </row>
    <row r="208">
      <c r="H208" s="128"/>
      <c r="L208" s="129"/>
    </row>
    <row r="209">
      <c r="H209" s="128"/>
      <c r="L209" s="129"/>
    </row>
    <row r="210">
      <c r="H210" s="128"/>
      <c r="L210" s="129"/>
    </row>
    <row r="211">
      <c r="H211" s="128"/>
      <c r="L211" s="129"/>
    </row>
    <row r="212">
      <c r="H212" s="128"/>
      <c r="L212" s="129"/>
    </row>
    <row r="213">
      <c r="H213" s="128"/>
      <c r="L213" s="129"/>
    </row>
    <row r="214">
      <c r="H214" s="128"/>
      <c r="L214" s="129"/>
    </row>
    <row r="215">
      <c r="H215" s="128"/>
      <c r="L215" s="129"/>
    </row>
    <row r="216">
      <c r="H216" s="128"/>
      <c r="L216" s="129"/>
    </row>
    <row r="217">
      <c r="H217" s="128"/>
      <c r="L217" s="129"/>
    </row>
    <row r="218">
      <c r="H218" s="128"/>
      <c r="L218" s="129"/>
    </row>
    <row r="219">
      <c r="H219" s="128"/>
      <c r="L219" s="129"/>
    </row>
    <row r="220">
      <c r="H220" s="128"/>
      <c r="L220" s="129"/>
    </row>
    <row r="221">
      <c r="H221" s="128"/>
      <c r="L221" s="129"/>
    </row>
    <row r="222">
      <c r="H222" s="128"/>
      <c r="L222" s="129"/>
    </row>
    <row r="223">
      <c r="H223" s="128"/>
      <c r="L223" s="129"/>
    </row>
    <row r="224">
      <c r="H224" s="128"/>
      <c r="L224" s="129"/>
    </row>
    <row r="225">
      <c r="H225" s="128"/>
      <c r="L225" s="129"/>
    </row>
    <row r="226">
      <c r="H226" s="128"/>
      <c r="L226" s="129"/>
    </row>
    <row r="227">
      <c r="H227" s="128"/>
      <c r="L227" s="129"/>
    </row>
    <row r="228">
      <c r="H228" s="128"/>
      <c r="L228" s="129"/>
    </row>
    <row r="229">
      <c r="H229" s="128"/>
      <c r="L229" s="129"/>
    </row>
    <row r="230">
      <c r="H230" s="128"/>
      <c r="L230" s="129"/>
    </row>
    <row r="231">
      <c r="H231" s="128"/>
      <c r="L231" s="129"/>
    </row>
    <row r="232">
      <c r="H232" s="128"/>
      <c r="L232" s="129"/>
    </row>
    <row r="233">
      <c r="H233" s="128"/>
      <c r="L233" s="129"/>
    </row>
    <row r="234">
      <c r="H234" s="128"/>
      <c r="L234" s="129"/>
    </row>
    <row r="235">
      <c r="H235" s="128"/>
      <c r="L235" s="129"/>
    </row>
    <row r="236">
      <c r="H236" s="128"/>
      <c r="L236" s="129"/>
    </row>
    <row r="237">
      <c r="H237" s="128"/>
      <c r="L237" s="129"/>
    </row>
    <row r="238">
      <c r="H238" s="128"/>
      <c r="L238" s="129"/>
    </row>
    <row r="239">
      <c r="H239" s="128"/>
      <c r="L239" s="129"/>
    </row>
    <row r="240">
      <c r="H240" s="128"/>
      <c r="L240" s="129"/>
    </row>
    <row r="241">
      <c r="H241" s="128"/>
      <c r="L241" s="129"/>
    </row>
    <row r="242">
      <c r="H242" s="128"/>
      <c r="L242" s="129"/>
    </row>
    <row r="243">
      <c r="H243" s="128"/>
      <c r="L243" s="129"/>
    </row>
    <row r="244">
      <c r="H244" s="128"/>
      <c r="L244" s="129"/>
    </row>
    <row r="245">
      <c r="H245" s="128"/>
      <c r="L245" s="129"/>
    </row>
    <row r="246">
      <c r="H246" s="128"/>
      <c r="L246" s="129"/>
    </row>
    <row r="247">
      <c r="H247" s="128"/>
      <c r="L247" s="129"/>
    </row>
    <row r="248">
      <c r="H248" s="128"/>
      <c r="L248" s="129"/>
    </row>
    <row r="249">
      <c r="H249" s="128"/>
      <c r="L249" s="129"/>
    </row>
    <row r="250">
      <c r="H250" s="128"/>
      <c r="L250" s="129"/>
    </row>
    <row r="251">
      <c r="H251" s="128"/>
      <c r="L251" s="129"/>
    </row>
    <row r="252">
      <c r="H252" s="128"/>
      <c r="L252" s="129"/>
    </row>
    <row r="253">
      <c r="H253" s="128"/>
      <c r="L253" s="129"/>
    </row>
    <row r="254">
      <c r="H254" s="128"/>
      <c r="L254" s="129"/>
    </row>
    <row r="255">
      <c r="H255" s="128"/>
      <c r="L255" s="129"/>
    </row>
    <row r="256">
      <c r="H256" s="128"/>
      <c r="L256" s="129"/>
    </row>
    <row r="257">
      <c r="H257" s="128"/>
      <c r="L257" s="129"/>
    </row>
    <row r="258">
      <c r="H258" s="128"/>
      <c r="L258" s="129"/>
    </row>
    <row r="259">
      <c r="H259" s="128"/>
      <c r="L259" s="129"/>
    </row>
    <row r="260">
      <c r="H260" s="128"/>
      <c r="L260" s="129"/>
    </row>
    <row r="261">
      <c r="H261" s="128"/>
      <c r="L261" s="129"/>
    </row>
    <row r="262">
      <c r="H262" s="128"/>
      <c r="L262" s="129"/>
    </row>
    <row r="263">
      <c r="H263" s="128"/>
      <c r="L263" s="129"/>
    </row>
    <row r="264">
      <c r="H264" s="128"/>
      <c r="L264" s="129"/>
    </row>
    <row r="265">
      <c r="H265" s="128"/>
      <c r="L265" s="129"/>
    </row>
    <row r="266">
      <c r="H266" s="128"/>
      <c r="L266" s="129"/>
    </row>
    <row r="267">
      <c r="H267" s="128"/>
      <c r="L267" s="129"/>
    </row>
    <row r="268">
      <c r="H268" s="128"/>
      <c r="L268" s="129"/>
    </row>
    <row r="269">
      <c r="H269" s="128"/>
      <c r="L269" s="129"/>
    </row>
    <row r="270">
      <c r="H270" s="128"/>
      <c r="L270" s="129"/>
    </row>
    <row r="271">
      <c r="H271" s="128"/>
      <c r="L271" s="129"/>
    </row>
    <row r="272">
      <c r="H272" s="128"/>
      <c r="L272" s="129"/>
    </row>
    <row r="273">
      <c r="H273" s="128"/>
      <c r="L273" s="129"/>
    </row>
    <row r="274">
      <c r="H274" s="128"/>
      <c r="L274" s="129"/>
    </row>
    <row r="275">
      <c r="H275" s="128"/>
      <c r="L275" s="129"/>
    </row>
    <row r="276">
      <c r="H276" s="128"/>
      <c r="L276" s="129"/>
    </row>
    <row r="277">
      <c r="H277" s="128"/>
      <c r="L277" s="129"/>
    </row>
    <row r="278">
      <c r="H278" s="128"/>
      <c r="L278" s="129"/>
    </row>
    <row r="279">
      <c r="H279" s="128"/>
      <c r="L279" s="129"/>
    </row>
    <row r="280">
      <c r="H280" s="128"/>
      <c r="L280" s="129"/>
    </row>
    <row r="281">
      <c r="H281" s="128"/>
      <c r="L281" s="129"/>
    </row>
    <row r="282">
      <c r="H282" s="128"/>
      <c r="L282" s="129"/>
    </row>
    <row r="283">
      <c r="H283" s="128"/>
      <c r="L283" s="129"/>
    </row>
    <row r="284">
      <c r="H284" s="128"/>
      <c r="L284" s="129"/>
    </row>
    <row r="285">
      <c r="H285" s="128"/>
      <c r="L285" s="129"/>
    </row>
    <row r="286">
      <c r="H286" s="128"/>
      <c r="L286" s="129"/>
    </row>
    <row r="287">
      <c r="H287" s="128"/>
      <c r="L287" s="129"/>
    </row>
    <row r="288">
      <c r="H288" s="128"/>
      <c r="L288" s="129"/>
    </row>
    <row r="289">
      <c r="H289" s="128"/>
      <c r="L289" s="129"/>
    </row>
    <row r="290">
      <c r="H290" s="128"/>
      <c r="L290" s="129"/>
    </row>
    <row r="291">
      <c r="H291" s="128"/>
      <c r="L291" s="129"/>
    </row>
    <row r="292">
      <c r="H292" s="128"/>
      <c r="L292" s="129"/>
    </row>
    <row r="293">
      <c r="H293" s="128"/>
      <c r="L293" s="129"/>
    </row>
    <row r="294">
      <c r="H294" s="128"/>
      <c r="L294" s="129"/>
    </row>
    <row r="295">
      <c r="H295" s="128"/>
      <c r="L295" s="129"/>
    </row>
    <row r="296">
      <c r="H296" s="128"/>
      <c r="L296" s="129"/>
    </row>
    <row r="297">
      <c r="H297" s="128"/>
      <c r="L297" s="129"/>
    </row>
    <row r="298">
      <c r="H298" s="128"/>
      <c r="L298" s="129"/>
    </row>
    <row r="299">
      <c r="H299" s="128"/>
      <c r="L299" s="129"/>
    </row>
    <row r="300">
      <c r="H300" s="128"/>
      <c r="L300" s="129"/>
    </row>
    <row r="301">
      <c r="H301" s="128"/>
      <c r="L301" s="129"/>
    </row>
    <row r="302">
      <c r="H302" s="128"/>
      <c r="L302" s="129"/>
    </row>
    <row r="303">
      <c r="H303" s="128"/>
      <c r="L303" s="129"/>
    </row>
    <row r="304">
      <c r="H304" s="128"/>
      <c r="L304" s="129"/>
    </row>
    <row r="305">
      <c r="H305" s="128"/>
      <c r="L305" s="129"/>
    </row>
    <row r="306">
      <c r="H306" s="128"/>
      <c r="L306" s="129"/>
    </row>
    <row r="307">
      <c r="H307" s="128"/>
      <c r="L307" s="129"/>
    </row>
    <row r="308">
      <c r="H308" s="128"/>
      <c r="L308" s="129"/>
    </row>
    <row r="309">
      <c r="H309" s="128"/>
      <c r="L309" s="129"/>
    </row>
    <row r="310">
      <c r="H310" s="128"/>
      <c r="L310" s="129"/>
    </row>
    <row r="311">
      <c r="H311" s="128"/>
      <c r="L311" s="129"/>
    </row>
    <row r="312">
      <c r="H312" s="128"/>
      <c r="L312" s="129"/>
    </row>
    <row r="313">
      <c r="H313" s="128"/>
      <c r="L313" s="129"/>
    </row>
    <row r="314">
      <c r="H314" s="128"/>
      <c r="L314" s="129"/>
    </row>
    <row r="315">
      <c r="H315" s="128"/>
      <c r="L315" s="129"/>
    </row>
    <row r="316">
      <c r="H316" s="128"/>
      <c r="L316" s="129"/>
    </row>
    <row r="317">
      <c r="H317" s="128"/>
      <c r="L317" s="129"/>
    </row>
    <row r="318">
      <c r="H318" s="128"/>
      <c r="L318" s="129"/>
    </row>
    <row r="319">
      <c r="H319" s="128"/>
      <c r="L319" s="129"/>
    </row>
    <row r="320">
      <c r="H320" s="128"/>
      <c r="L320" s="129"/>
    </row>
    <row r="321">
      <c r="H321" s="128"/>
      <c r="L321" s="129"/>
    </row>
    <row r="322">
      <c r="H322" s="128"/>
      <c r="L322" s="129"/>
    </row>
    <row r="323">
      <c r="H323" s="128"/>
      <c r="L323" s="129"/>
    </row>
    <row r="324">
      <c r="H324" s="128"/>
      <c r="L324" s="129"/>
    </row>
    <row r="325">
      <c r="H325" s="128"/>
      <c r="L325" s="129"/>
    </row>
    <row r="326">
      <c r="H326" s="128"/>
      <c r="L326" s="129"/>
    </row>
    <row r="327">
      <c r="H327" s="128"/>
      <c r="L327" s="129"/>
    </row>
    <row r="328">
      <c r="H328" s="128"/>
      <c r="L328" s="129"/>
    </row>
    <row r="329">
      <c r="H329" s="128"/>
      <c r="L329" s="129"/>
    </row>
    <row r="330">
      <c r="H330" s="128"/>
      <c r="L330" s="129"/>
    </row>
    <row r="331">
      <c r="H331" s="128"/>
      <c r="L331" s="129"/>
    </row>
    <row r="332">
      <c r="H332" s="128"/>
      <c r="L332" s="129"/>
    </row>
    <row r="333">
      <c r="H333" s="128"/>
      <c r="L333" s="129"/>
    </row>
    <row r="334">
      <c r="H334" s="128"/>
      <c r="L334" s="129"/>
    </row>
    <row r="335">
      <c r="H335" s="128"/>
      <c r="L335" s="129"/>
    </row>
    <row r="336">
      <c r="H336" s="128"/>
      <c r="L336" s="129"/>
    </row>
    <row r="337">
      <c r="H337" s="128"/>
      <c r="L337" s="129"/>
    </row>
    <row r="338">
      <c r="H338" s="128"/>
      <c r="L338" s="129"/>
    </row>
    <row r="339">
      <c r="H339" s="128"/>
      <c r="L339" s="129"/>
    </row>
    <row r="340">
      <c r="H340" s="128"/>
      <c r="L340" s="129"/>
    </row>
    <row r="341">
      <c r="H341" s="128"/>
      <c r="L341" s="129"/>
    </row>
    <row r="342">
      <c r="H342" s="128"/>
      <c r="L342" s="129"/>
    </row>
    <row r="343">
      <c r="H343" s="128"/>
      <c r="L343" s="129"/>
    </row>
    <row r="344">
      <c r="H344" s="128"/>
      <c r="L344" s="129"/>
    </row>
    <row r="345">
      <c r="H345" s="128"/>
      <c r="L345" s="129"/>
    </row>
    <row r="346">
      <c r="H346" s="128"/>
      <c r="L346" s="129"/>
    </row>
    <row r="347">
      <c r="H347" s="128"/>
      <c r="L347" s="129"/>
    </row>
    <row r="348">
      <c r="H348" s="128"/>
      <c r="L348" s="129"/>
    </row>
    <row r="349">
      <c r="H349" s="128"/>
      <c r="L349" s="129"/>
    </row>
    <row r="350">
      <c r="H350" s="128"/>
      <c r="L350" s="129"/>
    </row>
    <row r="351">
      <c r="H351" s="128"/>
      <c r="L351" s="129"/>
    </row>
    <row r="352">
      <c r="H352" s="128"/>
      <c r="L352" s="129"/>
    </row>
    <row r="353">
      <c r="H353" s="128"/>
      <c r="L353" s="129"/>
    </row>
    <row r="354">
      <c r="H354" s="128"/>
      <c r="L354" s="129"/>
    </row>
    <row r="355">
      <c r="H355" s="128"/>
      <c r="L355" s="129"/>
    </row>
    <row r="356">
      <c r="H356" s="128"/>
      <c r="L356" s="129"/>
    </row>
    <row r="357">
      <c r="H357" s="128"/>
      <c r="L357" s="129"/>
    </row>
    <row r="358">
      <c r="H358" s="128"/>
      <c r="L358" s="129"/>
    </row>
    <row r="359">
      <c r="H359" s="128"/>
      <c r="L359" s="129"/>
    </row>
    <row r="360">
      <c r="H360" s="128"/>
      <c r="L360" s="129"/>
    </row>
    <row r="361">
      <c r="H361" s="128"/>
      <c r="L361" s="129"/>
    </row>
    <row r="362">
      <c r="H362" s="128"/>
      <c r="L362" s="129"/>
    </row>
    <row r="363">
      <c r="H363" s="128"/>
      <c r="L363" s="129"/>
    </row>
    <row r="364">
      <c r="H364" s="128"/>
      <c r="L364" s="129"/>
    </row>
    <row r="365">
      <c r="H365" s="128"/>
      <c r="L365" s="129"/>
    </row>
    <row r="366">
      <c r="H366" s="128"/>
      <c r="L366" s="129"/>
    </row>
    <row r="367">
      <c r="H367" s="128"/>
      <c r="L367" s="129"/>
    </row>
    <row r="368">
      <c r="H368" s="128"/>
      <c r="L368" s="129"/>
    </row>
    <row r="369">
      <c r="H369" s="128"/>
      <c r="L369" s="129"/>
    </row>
    <row r="370">
      <c r="H370" s="128"/>
      <c r="L370" s="129"/>
    </row>
    <row r="371">
      <c r="H371" s="128"/>
      <c r="L371" s="129"/>
    </row>
    <row r="372">
      <c r="H372" s="128"/>
      <c r="L372" s="129"/>
    </row>
    <row r="373">
      <c r="H373" s="128"/>
      <c r="L373" s="129"/>
    </row>
    <row r="374">
      <c r="H374" s="128"/>
      <c r="L374" s="129"/>
    </row>
    <row r="375">
      <c r="H375" s="128"/>
      <c r="L375" s="129"/>
    </row>
    <row r="376">
      <c r="H376" s="128"/>
      <c r="L376" s="129"/>
    </row>
    <row r="377">
      <c r="H377" s="128"/>
      <c r="L377" s="129"/>
    </row>
    <row r="378">
      <c r="H378" s="128"/>
      <c r="L378" s="129"/>
    </row>
    <row r="379">
      <c r="H379" s="128"/>
      <c r="L379" s="129"/>
    </row>
    <row r="380">
      <c r="H380" s="128"/>
      <c r="L380" s="129"/>
    </row>
    <row r="381">
      <c r="H381" s="128"/>
      <c r="L381" s="129"/>
    </row>
    <row r="382">
      <c r="H382" s="128"/>
      <c r="L382" s="129"/>
    </row>
    <row r="383">
      <c r="H383" s="128"/>
      <c r="L383" s="129"/>
    </row>
    <row r="384">
      <c r="H384" s="128"/>
      <c r="L384" s="129"/>
    </row>
    <row r="385">
      <c r="H385" s="128"/>
      <c r="L385" s="129"/>
    </row>
    <row r="386">
      <c r="H386" s="128"/>
      <c r="L386" s="129"/>
    </row>
    <row r="387">
      <c r="H387" s="128"/>
      <c r="L387" s="129"/>
    </row>
    <row r="388">
      <c r="H388" s="128"/>
      <c r="L388" s="129"/>
    </row>
    <row r="389">
      <c r="H389" s="128"/>
      <c r="L389" s="129"/>
    </row>
    <row r="390">
      <c r="H390" s="128"/>
      <c r="L390" s="129"/>
    </row>
    <row r="391">
      <c r="H391" s="128"/>
      <c r="L391" s="129"/>
    </row>
    <row r="392">
      <c r="H392" s="128"/>
      <c r="L392" s="129"/>
    </row>
    <row r="393">
      <c r="H393" s="128"/>
      <c r="L393" s="129"/>
    </row>
    <row r="394">
      <c r="H394" s="128"/>
      <c r="L394" s="129"/>
    </row>
    <row r="395">
      <c r="H395" s="128"/>
      <c r="L395" s="129"/>
    </row>
    <row r="396">
      <c r="H396" s="128"/>
      <c r="L396" s="129"/>
    </row>
    <row r="397">
      <c r="H397" s="128"/>
      <c r="L397" s="129"/>
    </row>
    <row r="398">
      <c r="H398" s="128"/>
      <c r="L398" s="129"/>
    </row>
    <row r="399">
      <c r="H399" s="128"/>
      <c r="L399" s="129"/>
    </row>
    <row r="400">
      <c r="H400" s="128"/>
      <c r="L400" s="129"/>
    </row>
    <row r="401">
      <c r="H401" s="128"/>
      <c r="L401" s="129"/>
    </row>
    <row r="402">
      <c r="H402" s="128"/>
      <c r="L402" s="129"/>
    </row>
    <row r="403">
      <c r="H403" s="128"/>
      <c r="L403" s="129"/>
    </row>
    <row r="404">
      <c r="H404" s="128"/>
      <c r="L404" s="129"/>
    </row>
    <row r="405">
      <c r="H405" s="128"/>
      <c r="L405" s="129"/>
    </row>
    <row r="406">
      <c r="H406" s="128"/>
      <c r="L406" s="129"/>
    </row>
    <row r="407">
      <c r="H407" s="128"/>
      <c r="L407" s="129"/>
    </row>
    <row r="408">
      <c r="H408" s="128"/>
      <c r="L408" s="129"/>
    </row>
    <row r="409">
      <c r="H409" s="128"/>
      <c r="L409" s="129"/>
    </row>
    <row r="410">
      <c r="H410" s="128"/>
      <c r="L410" s="129"/>
    </row>
    <row r="411">
      <c r="H411" s="128"/>
      <c r="L411" s="129"/>
    </row>
    <row r="412">
      <c r="H412" s="128"/>
      <c r="L412" s="129"/>
    </row>
    <row r="413">
      <c r="H413" s="128"/>
      <c r="L413" s="129"/>
    </row>
    <row r="414">
      <c r="H414" s="128"/>
      <c r="L414" s="129"/>
    </row>
    <row r="415">
      <c r="H415" s="128"/>
      <c r="L415" s="129"/>
    </row>
    <row r="416">
      <c r="H416" s="128"/>
      <c r="L416" s="129"/>
    </row>
    <row r="417">
      <c r="H417" s="128"/>
      <c r="L417" s="129"/>
    </row>
    <row r="418">
      <c r="H418" s="128"/>
      <c r="L418" s="129"/>
    </row>
    <row r="419">
      <c r="H419" s="128"/>
      <c r="L419" s="129"/>
    </row>
    <row r="420">
      <c r="H420" s="128"/>
      <c r="L420" s="129"/>
    </row>
    <row r="421">
      <c r="H421" s="128"/>
      <c r="L421" s="129"/>
    </row>
    <row r="422">
      <c r="H422" s="128"/>
      <c r="L422" s="129"/>
    </row>
    <row r="423">
      <c r="H423" s="128"/>
      <c r="L423" s="129"/>
    </row>
    <row r="424">
      <c r="H424" s="128"/>
      <c r="L424" s="129"/>
    </row>
    <row r="425">
      <c r="H425" s="128"/>
      <c r="L425" s="129"/>
    </row>
    <row r="426">
      <c r="H426" s="128"/>
      <c r="L426" s="129"/>
    </row>
    <row r="427">
      <c r="H427" s="128"/>
      <c r="L427" s="129"/>
    </row>
    <row r="428">
      <c r="H428" s="128"/>
      <c r="L428" s="129"/>
    </row>
    <row r="429">
      <c r="H429" s="128"/>
      <c r="L429" s="129"/>
    </row>
    <row r="430">
      <c r="H430" s="128"/>
      <c r="L430" s="129"/>
    </row>
    <row r="431">
      <c r="H431" s="128"/>
      <c r="L431" s="129"/>
    </row>
    <row r="432">
      <c r="H432" s="128"/>
      <c r="L432" s="129"/>
    </row>
    <row r="433">
      <c r="H433" s="128"/>
      <c r="L433" s="129"/>
    </row>
    <row r="434">
      <c r="H434" s="128"/>
      <c r="L434" s="129"/>
    </row>
    <row r="435">
      <c r="H435" s="128"/>
      <c r="L435" s="129"/>
    </row>
    <row r="436">
      <c r="H436" s="128"/>
      <c r="L436" s="129"/>
    </row>
    <row r="437">
      <c r="H437" s="128"/>
      <c r="L437" s="129"/>
    </row>
    <row r="438">
      <c r="H438" s="128"/>
      <c r="L438" s="129"/>
    </row>
    <row r="439">
      <c r="H439" s="128"/>
      <c r="L439" s="129"/>
    </row>
    <row r="440">
      <c r="H440" s="128"/>
      <c r="L440" s="129"/>
    </row>
    <row r="441">
      <c r="H441" s="128"/>
      <c r="L441" s="129"/>
    </row>
    <row r="442">
      <c r="H442" s="128"/>
      <c r="L442" s="129"/>
    </row>
    <row r="443">
      <c r="H443" s="128"/>
      <c r="L443" s="129"/>
    </row>
    <row r="444">
      <c r="H444" s="128"/>
      <c r="L444" s="129"/>
    </row>
    <row r="445">
      <c r="H445" s="128"/>
      <c r="L445" s="129"/>
    </row>
    <row r="446">
      <c r="H446" s="128"/>
      <c r="L446" s="129"/>
    </row>
    <row r="447">
      <c r="H447" s="128"/>
      <c r="L447" s="129"/>
    </row>
    <row r="448">
      <c r="H448" s="128"/>
      <c r="L448" s="129"/>
    </row>
    <row r="449">
      <c r="H449" s="128"/>
      <c r="L449" s="129"/>
    </row>
    <row r="450">
      <c r="H450" s="128"/>
      <c r="L450" s="129"/>
    </row>
    <row r="451">
      <c r="H451" s="128"/>
      <c r="L451" s="129"/>
    </row>
    <row r="452">
      <c r="H452" s="128"/>
      <c r="L452" s="129"/>
    </row>
    <row r="453">
      <c r="H453" s="128"/>
      <c r="L453" s="129"/>
    </row>
    <row r="454">
      <c r="H454" s="128"/>
      <c r="L454" s="129"/>
    </row>
    <row r="455">
      <c r="H455" s="128"/>
      <c r="L455" s="129"/>
    </row>
    <row r="456">
      <c r="H456" s="128"/>
      <c r="L456" s="129"/>
    </row>
    <row r="457">
      <c r="H457" s="128"/>
      <c r="L457" s="129"/>
    </row>
    <row r="458">
      <c r="H458" s="128"/>
      <c r="L458" s="129"/>
    </row>
    <row r="459">
      <c r="H459" s="128"/>
      <c r="L459" s="129"/>
    </row>
    <row r="460">
      <c r="H460" s="128"/>
      <c r="L460" s="129"/>
    </row>
    <row r="461">
      <c r="H461" s="128"/>
      <c r="L461" s="129"/>
    </row>
    <row r="462">
      <c r="H462" s="128"/>
      <c r="L462" s="129"/>
    </row>
    <row r="463">
      <c r="H463" s="128"/>
      <c r="L463" s="129"/>
    </row>
    <row r="464">
      <c r="H464" s="128"/>
      <c r="L464" s="129"/>
    </row>
    <row r="465">
      <c r="H465" s="128"/>
      <c r="L465" s="129"/>
    </row>
    <row r="466">
      <c r="H466" s="128"/>
      <c r="L466" s="129"/>
    </row>
    <row r="467">
      <c r="H467" s="128"/>
      <c r="L467" s="129"/>
    </row>
    <row r="468">
      <c r="H468" s="128"/>
      <c r="L468" s="129"/>
    </row>
    <row r="469">
      <c r="H469" s="128"/>
      <c r="L469" s="129"/>
    </row>
    <row r="470">
      <c r="H470" s="128"/>
      <c r="L470" s="129"/>
    </row>
    <row r="471">
      <c r="H471" s="128"/>
      <c r="L471" s="129"/>
    </row>
    <row r="472">
      <c r="H472" s="128"/>
      <c r="L472" s="129"/>
    </row>
    <row r="473">
      <c r="H473" s="128"/>
      <c r="L473" s="129"/>
    </row>
    <row r="474">
      <c r="H474" s="128"/>
      <c r="L474" s="129"/>
    </row>
    <row r="475">
      <c r="H475" s="128"/>
      <c r="L475" s="129"/>
    </row>
    <row r="476">
      <c r="H476" s="128"/>
      <c r="L476" s="129"/>
    </row>
    <row r="477">
      <c r="H477" s="128"/>
      <c r="L477" s="129"/>
    </row>
    <row r="478">
      <c r="H478" s="128"/>
      <c r="L478" s="129"/>
    </row>
    <row r="479">
      <c r="H479" s="128"/>
      <c r="L479" s="129"/>
    </row>
    <row r="480">
      <c r="H480" s="128"/>
      <c r="L480" s="129"/>
    </row>
    <row r="481">
      <c r="H481" s="128"/>
      <c r="L481" s="129"/>
    </row>
    <row r="482">
      <c r="H482" s="128"/>
      <c r="L482" s="129"/>
    </row>
    <row r="483">
      <c r="H483" s="128"/>
      <c r="L483" s="129"/>
    </row>
    <row r="484">
      <c r="H484" s="128"/>
      <c r="L484" s="129"/>
    </row>
    <row r="485">
      <c r="H485" s="128"/>
      <c r="L485" s="129"/>
    </row>
    <row r="486">
      <c r="H486" s="128"/>
      <c r="L486" s="129"/>
    </row>
    <row r="487">
      <c r="H487" s="128"/>
      <c r="L487" s="129"/>
    </row>
    <row r="488">
      <c r="H488" s="128"/>
      <c r="L488" s="129"/>
    </row>
    <row r="489">
      <c r="H489" s="128"/>
      <c r="L489" s="129"/>
    </row>
    <row r="490">
      <c r="H490" s="128"/>
      <c r="L490" s="129"/>
    </row>
    <row r="491">
      <c r="H491" s="128"/>
      <c r="L491" s="129"/>
    </row>
    <row r="492">
      <c r="H492" s="128"/>
      <c r="L492" s="129"/>
    </row>
    <row r="493">
      <c r="H493" s="128"/>
      <c r="L493" s="129"/>
    </row>
    <row r="494">
      <c r="H494" s="128"/>
      <c r="L494" s="129"/>
    </row>
    <row r="495">
      <c r="H495" s="128"/>
      <c r="L495" s="129"/>
    </row>
    <row r="496">
      <c r="H496" s="128"/>
      <c r="L496" s="129"/>
    </row>
    <row r="497">
      <c r="H497" s="128"/>
      <c r="L497" s="129"/>
    </row>
    <row r="498">
      <c r="H498" s="128"/>
      <c r="L498" s="129"/>
    </row>
    <row r="499">
      <c r="H499" s="128"/>
      <c r="L499" s="129"/>
    </row>
    <row r="500">
      <c r="H500" s="128"/>
      <c r="L500" s="129"/>
    </row>
    <row r="501">
      <c r="H501" s="128"/>
      <c r="L501" s="129"/>
    </row>
    <row r="502">
      <c r="H502" s="128"/>
      <c r="L502" s="129"/>
    </row>
    <row r="503">
      <c r="H503" s="128"/>
      <c r="L503" s="129"/>
    </row>
    <row r="504">
      <c r="H504" s="128"/>
      <c r="L504" s="129"/>
    </row>
    <row r="505">
      <c r="H505" s="128"/>
      <c r="L505" s="129"/>
    </row>
    <row r="506">
      <c r="H506" s="128"/>
      <c r="L506" s="129"/>
    </row>
    <row r="507">
      <c r="H507" s="128"/>
      <c r="L507" s="129"/>
    </row>
    <row r="508">
      <c r="H508" s="128"/>
      <c r="L508" s="129"/>
    </row>
    <row r="509">
      <c r="H509" s="128"/>
      <c r="L509" s="129"/>
    </row>
    <row r="510">
      <c r="H510" s="128"/>
      <c r="L510" s="129"/>
    </row>
    <row r="511">
      <c r="H511" s="128"/>
      <c r="L511" s="129"/>
    </row>
    <row r="512">
      <c r="H512" s="128"/>
      <c r="L512" s="129"/>
    </row>
    <row r="513">
      <c r="H513" s="128"/>
      <c r="L513" s="129"/>
    </row>
    <row r="514">
      <c r="H514" s="128"/>
      <c r="L514" s="129"/>
    </row>
    <row r="515">
      <c r="H515" s="128"/>
      <c r="L515" s="129"/>
    </row>
    <row r="516">
      <c r="H516" s="128"/>
      <c r="L516" s="129"/>
    </row>
    <row r="517">
      <c r="H517" s="128"/>
      <c r="L517" s="129"/>
    </row>
    <row r="518">
      <c r="H518" s="128"/>
      <c r="L518" s="129"/>
    </row>
    <row r="519">
      <c r="H519" s="128"/>
      <c r="L519" s="129"/>
    </row>
    <row r="520">
      <c r="H520" s="128"/>
      <c r="L520" s="129"/>
    </row>
    <row r="521">
      <c r="H521" s="128"/>
      <c r="L521" s="129"/>
    </row>
    <row r="522">
      <c r="H522" s="128"/>
      <c r="L522" s="129"/>
    </row>
    <row r="523">
      <c r="H523" s="128"/>
      <c r="L523" s="129"/>
    </row>
    <row r="524">
      <c r="H524" s="128"/>
      <c r="L524" s="129"/>
    </row>
    <row r="525">
      <c r="H525" s="128"/>
      <c r="L525" s="129"/>
    </row>
    <row r="526">
      <c r="H526" s="128"/>
      <c r="L526" s="129"/>
    </row>
    <row r="527">
      <c r="H527" s="128"/>
      <c r="L527" s="129"/>
    </row>
    <row r="528">
      <c r="H528" s="128"/>
      <c r="L528" s="129"/>
    </row>
    <row r="529">
      <c r="H529" s="128"/>
      <c r="L529" s="129"/>
    </row>
    <row r="530">
      <c r="H530" s="128"/>
      <c r="L530" s="129"/>
    </row>
    <row r="531">
      <c r="H531" s="128"/>
      <c r="L531" s="129"/>
    </row>
    <row r="532">
      <c r="H532" s="128"/>
      <c r="L532" s="129"/>
    </row>
    <row r="533">
      <c r="H533" s="128"/>
      <c r="L533" s="129"/>
    </row>
    <row r="534">
      <c r="H534" s="128"/>
      <c r="L534" s="129"/>
    </row>
    <row r="535">
      <c r="H535" s="128"/>
      <c r="L535" s="129"/>
    </row>
    <row r="536">
      <c r="H536" s="128"/>
      <c r="L536" s="129"/>
    </row>
    <row r="537">
      <c r="H537" s="128"/>
      <c r="L537" s="129"/>
    </row>
    <row r="538">
      <c r="H538" s="128"/>
      <c r="L538" s="129"/>
    </row>
    <row r="539">
      <c r="H539" s="128"/>
      <c r="L539" s="129"/>
    </row>
    <row r="540">
      <c r="H540" s="128"/>
      <c r="L540" s="129"/>
    </row>
    <row r="541">
      <c r="H541" s="128"/>
      <c r="L541" s="129"/>
    </row>
    <row r="542">
      <c r="H542" s="128"/>
      <c r="L542" s="129"/>
    </row>
    <row r="543">
      <c r="H543" s="128"/>
      <c r="L543" s="129"/>
    </row>
    <row r="544">
      <c r="H544" s="128"/>
      <c r="L544" s="129"/>
    </row>
    <row r="545">
      <c r="H545" s="128"/>
      <c r="L545" s="129"/>
    </row>
    <row r="546">
      <c r="H546" s="128"/>
      <c r="L546" s="129"/>
    </row>
    <row r="547">
      <c r="H547" s="128"/>
      <c r="L547" s="129"/>
    </row>
    <row r="548">
      <c r="H548" s="128"/>
      <c r="L548" s="129"/>
    </row>
    <row r="549">
      <c r="H549" s="128"/>
      <c r="L549" s="129"/>
    </row>
    <row r="550">
      <c r="H550" s="128"/>
      <c r="L550" s="129"/>
    </row>
    <row r="551">
      <c r="H551" s="128"/>
      <c r="L551" s="129"/>
    </row>
    <row r="552">
      <c r="H552" s="128"/>
      <c r="L552" s="129"/>
    </row>
    <row r="553">
      <c r="H553" s="128"/>
      <c r="L553" s="129"/>
    </row>
    <row r="554">
      <c r="H554" s="128"/>
      <c r="L554" s="129"/>
    </row>
    <row r="555">
      <c r="H555" s="128"/>
      <c r="L555" s="129"/>
    </row>
    <row r="556">
      <c r="H556" s="128"/>
      <c r="L556" s="129"/>
    </row>
    <row r="557">
      <c r="H557" s="128"/>
      <c r="L557" s="129"/>
    </row>
    <row r="558">
      <c r="H558" s="128"/>
      <c r="L558" s="129"/>
    </row>
    <row r="559">
      <c r="H559" s="128"/>
      <c r="L559" s="129"/>
    </row>
    <row r="560">
      <c r="H560" s="128"/>
      <c r="L560" s="129"/>
    </row>
    <row r="561">
      <c r="H561" s="128"/>
      <c r="L561" s="129"/>
    </row>
    <row r="562">
      <c r="H562" s="128"/>
      <c r="L562" s="129"/>
    </row>
    <row r="563">
      <c r="H563" s="128"/>
      <c r="L563" s="129"/>
    </row>
    <row r="564">
      <c r="H564" s="128"/>
      <c r="L564" s="129"/>
    </row>
    <row r="565">
      <c r="H565" s="128"/>
      <c r="L565" s="129"/>
    </row>
    <row r="566">
      <c r="H566" s="128"/>
      <c r="L566" s="129"/>
    </row>
    <row r="567">
      <c r="H567" s="128"/>
      <c r="L567" s="129"/>
    </row>
    <row r="568">
      <c r="H568" s="128"/>
      <c r="L568" s="129"/>
    </row>
    <row r="569">
      <c r="H569" s="128"/>
      <c r="L569" s="129"/>
    </row>
    <row r="570">
      <c r="H570" s="128"/>
      <c r="L570" s="129"/>
    </row>
    <row r="571">
      <c r="H571" s="128"/>
      <c r="L571" s="129"/>
    </row>
    <row r="572">
      <c r="H572" s="128"/>
      <c r="L572" s="129"/>
    </row>
    <row r="573">
      <c r="H573" s="128"/>
      <c r="L573" s="129"/>
    </row>
    <row r="574">
      <c r="H574" s="128"/>
      <c r="L574" s="129"/>
    </row>
    <row r="575">
      <c r="H575" s="128"/>
      <c r="L575" s="129"/>
    </row>
    <row r="576">
      <c r="H576" s="128"/>
      <c r="L576" s="129"/>
    </row>
    <row r="577">
      <c r="H577" s="128"/>
      <c r="L577" s="129"/>
    </row>
    <row r="578">
      <c r="H578" s="128"/>
      <c r="L578" s="129"/>
    </row>
    <row r="579">
      <c r="H579" s="128"/>
      <c r="L579" s="129"/>
    </row>
    <row r="580">
      <c r="H580" s="128"/>
      <c r="L580" s="129"/>
    </row>
    <row r="581">
      <c r="H581" s="128"/>
      <c r="L581" s="129"/>
    </row>
    <row r="582">
      <c r="H582" s="128"/>
      <c r="L582" s="129"/>
    </row>
    <row r="583">
      <c r="H583" s="128"/>
      <c r="L583" s="129"/>
    </row>
    <row r="584">
      <c r="H584" s="128"/>
      <c r="L584" s="129"/>
    </row>
    <row r="585">
      <c r="H585" s="128"/>
      <c r="L585" s="129"/>
    </row>
    <row r="586">
      <c r="H586" s="128"/>
      <c r="L586" s="129"/>
    </row>
    <row r="587">
      <c r="H587" s="128"/>
      <c r="L587" s="129"/>
    </row>
    <row r="588">
      <c r="H588" s="128"/>
      <c r="L588" s="129"/>
    </row>
    <row r="589">
      <c r="H589" s="128"/>
      <c r="L589" s="129"/>
    </row>
    <row r="590">
      <c r="H590" s="128"/>
      <c r="L590" s="129"/>
    </row>
    <row r="591">
      <c r="H591" s="128"/>
      <c r="L591" s="129"/>
    </row>
    <row r="592">
      <c r="H592" s="128"/>
      <c r="L592" s="129"/>
    </row>
    <row r="593">
      <c r="H593" s="128"/>
      <c r="L593" s="129"/>
    </row>
    <row r="594">
      <c r="H594" s="128"/>
      <c r="L594" s="129"/>
    </row>
    <row r="595">
      <c r="H595" s="128"/>
      <c r="L595" s="129"/>
    </row>
    <row r="596">
      <c r="H596" s="128"/>
      <c r="L596" s="129"/>
    </row>
    <row r="597">
      <c r="H597" s="128"/>
      <c r="L597" s="129"/>
    </row>
    <row r="598">
      <c r="H598" s="128"/>
      <c r="L598" s="129"/>
    </row>
    <row r="599">
      <c r="H599" s="128"/>
      <c r="L599" s="129"/>
    </row>
    <row r="600">
      <c r="H600" s="128"/>
      <c r="L600" s="129"/>
    </row>
    <row r="601">
      <c r="H601" s="128"/>
      <c r="L601" s="129"/>
    </row>
    <row r="602">
      <c r="H602" s="128"/>
      <c r="L602" s="129"/>
    </row>
    <row r="603">
      <c r="H603" s="128"/>
      <c r="L603" s="129"/>
    </row>
    <row r="604">
      <c r="H604" s="128"/>
      <c r="L604" s="129"/>
    </row>
    <row r="605">
      <c r="H605" s="128"/>
      <c r="L605" s="129"/>
    </row>
    <row r="606">
      <c r="H606" s="128"/>
      <c r="L606" s="129"/>
    </row>
    <row r="607">
      <c r="H607" s="128"/>
      <c r="L607" s="129"/>
    </row>
    <row r="608">
      <c r="H608" s="128"/>
      <c r="L608" s="129"/>
    </row>
    <row r="609">
      <c r="H609" s="128"/>
      <c r="L609" s="129"/>
    </row>
    <row r="610">
      <c r="H610" s="128"/>
      <c r="L610" s="129"/>
    </row>
    <row r="611">
      <c r="H611" s="128"/>
      <c r="L611" s="129"/>
    </row>
    <row r="612">
      <c r="H612" s="128"/>
      <c r="L612" s="129"/>
    </row>
    <row r="613">
      <c r="H613" s="128"/>
      <c r="L613" s="129"/>
    </row>
    <row r="614">
      <c r="H614" s="128"/>
      <c r="L614" s="129"/>
    </row>
    <row r="615">
      <c r="H615" s="128"/>
      <c r="L615" s="129"/>
    </row>
    <row r="616">
      <c r="H616" s="128"/>
      <c r="L616" s="129"/>
    </row>
    <row r="617">
      <c r="H617" s="128"/>
      <c r="L617" s="129"/>
    </row>
    <row r="618">
      <c r="H618" s="128"/>
      <c r="L618" s="129"/>
    </row>
    <row r="619">
      <c r="H619" s="128"/>
      <c r="L619" s="129"/>
    </row>
    <row r="620">
      <c r="H620" s="128"/>
      <c r="L620" s="129"/>
    </row>
    <row r="621">
      <c r="H621" s="128"/>
      <c r="L621" s="129"/>
    </row>
    <row r="622">
      <c r="H622" s="128"/>
      <c r="L622" s="129"/>
    </row>
    <row r="623">
      <c r="H623" s="128"/>
      <c r="L623" s="129"/>
    </row>
    <row r="624">
      <c r="H624" s="128"/>
      <c r="L624" s="129"/>
    </row>
    <row r="625">
      <c r="H625" s="128"/>
      <c r="L625" s="129"/>
    </row>
    <row r="626">
      <c r="H626" s="128"/>
      <c r="L626" s="129"/>
    </row>
    <row r="627">
      <c r="H627" s="128"/>
      <c r="L627" s="129"/>
    </row>
    <row r="628">
      <c r="H628" s="128"/>
      <c r="L628" s="129"/>
    </row>
    <row r="629">
      <c r="H629" s="128"/>
      <c r="L629" s="129"/>
    </row>
    <row r="630">
      <c r="H630" s="128"/>
      <c r="L630" s="129"/>
    </row>
    <row r="631">
      <c r="H631" s="128"/>
      <c r="L631" s="129"/>
    </row>
    <row r="632">
      <c r="H632" s="128"/>
      <c r="L632" s="129"/>
    </row>
    <row r="633">
      <c r="H633" s="128"/>
      <c r="L633" s="129"/>
    </row>
    <row r="634">
      <c r="H634" s="128"/>
      <c r="L634" s="129"/>
    </row>
    <row r="635">
      <c r="H635" s="128"/>
      <c r="L635" s="129"/>
    </row>
    <row r="636">
      <c r="H636" s="128"/>
      <c r="L636" s="129"/>
    </row>
    <row r="637">
      <c r="H637" s="128"/>
      <c r="L637" s="129"/>
    </row>
    <row r="638">
      <c r="H638" s="128"/>
      <c r="L638" s="129"/>
    </row>
    <row r="639">
      <c r="H639" s="128"/>
      <c r="L639" s="129"/>
    </row>
    <row r="640">
      <c r="H640" s="128"/>
      <c r="L640" s="129"/>
    </row>
    <row r="641">
      <c r="H641" s="128"/>
      <c r="L641" s="129"/>
    </row>
    <row r="642">
      <c r="H642" s="128"/>
      <c r="L642" s="129"/>
    </row>
    <row r="643">
      <c r="H643" s="128"/>
      <c r="L643" s="129"/>
    </row>
    <row r="644">
      <c r="H644" s="128"/>
      <c r="L644" s="129"/>
    </row>
    <row r="645">
      <c r="H645" s="128"/>
      <c r="L645" s="129"/>
    </row>
    <row r="646">
      <c r="H646" s="128"/>
      <c r="L646" s="129"/>
    </row>
    <row r="647">
      <c r="H647" s="128"/>
      <c r="L647" s="129"/>
    </row>
    <row r="648">
      <c r="H648" s="128"/>
      <c r="L648" s="129"/>
    </row>
    <row r="649">
      <c r="H649" s="128"/>
      <c r="L649" s="129"/>
    </row>
    <row r="650">
      <c r="H650" s="128"/>
      <c r="L650" s="129"/>
    </row>
    <row r="651">
      <c r="H651" s="128"/>
      <c r="L651" s="129"/>
    </row>
    <row r="652">
      <c r="H652" s="128"/>
      <c r="L652" s="129"/>
    </row>
    <row r="653">
      <c r="H653" s="128"/>
      <c r="L653" s="129"/>
    </row>
    <row r="654">
      <c r="H654" s="128"/>
      <c r="L654" s="129"/>
    </row>
    <row r="655">
      <c r="H655" s="128"/>
      <c r="L655" s="129"/>
    </row>
    <row r="656">
      <c r="H656" s="128"/>
      <c r="L656" s="129"/>
    </row>
    <row r="657">
      <c r="H657" s="128"/>
      <c r="L657" s="129"/>
    </row>
    <row r="658">
      <c r="H658" s="128"/>
      <c r="L658" s="129"/>
    </row>
    <row r="659">
      <c r="H659" s="128"/>
      <c r="L659" s="129"/>
    </row>
    <row r="660">
      <c r="H660" s="128"/>
      <c r="L660" s="129"/>
    </row>
    <row r="661">
      <c r="H661" s="128"/>
      <c r="L661" s="129"/>
    </row>
    <row r="662">
      <c r="H662" s="128"/>
      <c r="L662" s="129"/>
    </row>
    <row r="663">
      <c r="H663" s="128"/>
      <c r="L663" s="129"/>
    </row>
    <row r="664">
      <c r="H664" s="128"/>
      <c r="L664" s="129"/>
    </row>
    <row r="665">
      <c r="H665" s="128"/>
      <c r="L665" s="129"/>
    </row>
    <row r="666">
      <c r="H666" s="128"/>
      <c r="L666" s="129"/>
    </row>
    <row r="667">
      <c r="H667" s="128"/>
      <c r="L667" s="129"/>
    </row>
    <row r="668">
      <c r="H668" s="128"/>
      <c r="L668" s="129"/>
    </row>
    <row r="669">
      <c r="H669" s="128"/>
      <c r="L669" s="129"/>
    </row>
    <row r="670">
      <c r="H670" s="128"/>
      <c r="L670" s="129"/>
    </row>
    <row r="671">
      <c r="H671" s="128"/>
      <c r="L671" s="129"/>
    </row>
    <row r="672">
      <c r="H672" s="128"/>
      <c r="L672" s="129"/>
    </row>
    <row r="673">
      <c r="H673" s="128"/>
      <c r="L673" s="129"/>
    </row>
    <row r="674">
      <c r="H674" s="128"/>
      <c r="L674" s="129"/>
    </row>
    <row r="675">
      <c r="H675" s="128"/>
      <c r="L675" s="129"/>
    </row>
    <row r="676">
      <c r="H676" s="128"/>
      <c r="L676" s="129"/>
    </row>
    <row r="677">
      <c r="H677" s="128"/>
      <c r="L677" s="129"/>
    </row>
    <row r="678">
      <c r="H678" s="128"/>
      <c r="L678" s="129"/>
    </row>
    <row r="679">
      <c r="H679" s="128"/>
      <c r="L679" s="129"/>
    </row>
    <row r="680">
      <c r="H680" s="128"/>
      <c r="L680" s="129"/>
    </row>
    <row r="681">
      <c r="H681" s="128"/>
      <c r="L681" s="129"/>
    </row>
    <row r="682">
      <c r="H682" s="128"/>
      <c r="L682" s="129"/>
    </row>
    <row r="683">
      <c r="H683" s="128"/>
      <c r="L683" s="129"/>
    </row>
    <row r="684">
      <c r="H684" s="128"/>
      <c r="L684" s="129"/>
    </row>
    <row r="685">
      <c r="H685" s="128"/>
      <c r="L685" s="129"/>
    </row>
    <row r="686">
      <c r="H686" s="128"/>
      <c r="L686" s="129"/>
    </row>
    <row r="687">
      <c r="H687" s="128"/>
      <c r="L687" s="129"/>
    </row>
    <row r="688">
      <c r="H688" s="128"/>
      <c r="L688" s="129"/>
    </row>
    <row r="689">
      <c r="H689" s="128"/>
      <c r="L689" s="129"/>
    </row>
    <row r="690">
      <c r="H690" s="128"/>
      <c r="L690" s="129"/>
    </row>
    <row r="691">
      <c r="H691" s="128"/>
      <c r="L691" s="129"/>
    </row>
    <row r="692">
      <c r="H692" s="128"/>
      <c r="L692" s="129"/>
    </row>
    <row r="693">
      <c r="H693" s="128"/>
      <c r="L693" s="129"/>
    </row>
    <row r="694">
      <c r="H694" s="128"/>
      <c r="L694" s="129"/>
    </row>
    <row r="695">
      <c r="H695" s="128"/>
      <c r="L695" s="129"/>
    </row>
    <row r="696">
      <c r="H696" s="128"/>
      <c r="L696" s="129"/>
    </row>
    <row r="697">
      <c r="H697" s="128"/>
      <c r="L697" s="129"/>
    </row>
    <row r="698">
      <c r="H698" s="128"/>
      <c r="L698" s="129"/>
    </row>
    <row r="699">
      <c r="H699" s="128"/>
      <c r="L699" s="129"/>
    </row>
    <row r="700">
      <c r="H700" s="128"/>
      <c r="L700" s="129"/>
    </row>
    <row r="701">
      <c r="H701" s="128"/>
      <c r="L701" s="129"/>
    </row>
    <row r="702">
      <c r="H702" s="128"/>
      <c r="L702" s="129"/>
    </row>
    <row r="703">
      <c r="H703" s="128"/>
      <c r="L703" s="129"/>
    </row>
    <row r="704">
      <c r="H704" s="128"/>
      <c r="L704" s="129"/>
    </row>
    <row r="705">
      <c r="H705" s="128"/>
      <c r="L705" s="129"/>
    </row>
    <row r="706">
      <c r="H706" s="128"/>
      <c r="L706" s="129"/>
    </row>
    <row r="707">
      <c r="H707" s="128"/>
      <c r="L707" s="129"/>
    </row>
    <row r="708">
      <c r="H708" s="128"/>
      <c r="L708" s="129"/>
    </row>
    <row r="709">
      <c r="H709" s="128"/>
      <c r="L709" s="129"/>
    </row>
    <row r="710">
      <c r="H710" s="128"/>
      <c r="L710" s="129"/>
    </row>
    <row r="711">
      <c r="H711" s="128"/>
      <c r="L711" s="129"/>
    </row>
    <row r="712">
      <c r="H712" s="128"/>
      <c r="L712" s="129"/>
    </row>
    <row r="713">
      <c r="H713" s="128"/>
      <c r="L713" s="129"/>
    </row>
    <row r="714">
      <c r="H714" s="128"/>
      <c r="L714" s="129"/>
    </row>
    <row r="715">
      <c r="H715" s="128"/>
      <c r="L715" s="129"/>
    </row>
    <row r="716">
      <c r="H716" s="128"/>
      <c r="L716" s="129"/>
    </row>
    <row r="717">
      <c r="H717" s="128"/>
      <c r="L717" s="129"/>
    </row>
    <row r="718">
      <c r="H718" s="128"/>
      <c r="L718" s="129"/>
    </row>
    <row r="719">
      <c r="H719" s="128"/>
      <c r="L719" s="129"/>
    </row>
    <row r="720">
      <c r="H720" s="128"/>
      <c r="L720" s="129"/>
    </row>
    <row r="721">
      <c r="H721" s="128"/>
      <c r="L721" s="129"/>
    </row>
    <row r="722">
      <c r="H722" s="128"/>
      <c r="L722" s="129"/>
    </row>
    <row r="723">
      <c r="H723" s="128"/>
      <c r="L723" s="129"/>
    </row>
    <row r="724">
      <c r="H724" s="128"/>
      <c r="L724" s="129"/>
    </row>
    <row r="725">
      <c r="H725" s="128"/>
      <c r="L725" s="129"/>
    </row>
    <row r="726">
      <c r="H726" s="128"/>
      <c r="L726" s="129"/>
    </row>
    <row r="727">
      <c r="H727" s="128"/>
      <c r="L727" s="129"/>
    </row>
    <row r="728">
      <c r="H728" s="128"/>
      <c r="L728" s="129"/>
    </row>
    <row r="729">
      <c r="H729" s="128"/>
      <c r="L729" s="129"/>
    </row>
    <row r="730">
      <c r="H730" s="128"/>
      <c r="L730" s="129"/>
    </row>
    <row r="731">
      <c r="H731" s="128"/>
      <c r="L731" s="129"/>
    </row>
    <row r="732">
      <c r="H732" s="128"/>
      <c r="L732" s="129"/>
    </row>
    <row r="733">
      <c r="H733" s="128"/>
      <c r="L733" s="129"/>
    </row>
    <row r="734">
      <c r="H734" s="128"/>
      <c r="L734" s="129"/>
    </row>
    <row r="735">
      <c r="H735" s="128"/>
      <c r="L735" s="129"/>
    </row>
    <row r="736">
      <c r="H736" s="128"/>
      <c r="L736" s="129"/>
    </row>
    <row r="737">
      <c r="H737" s="128"/>
      <c r="L737" s="129"/>
    </row>
    <row r="738">
      <c r="H738" s="128"/>
      <c r="L738" s="129"/>
    </row>
    <row r="739">
      <c r="H739" s="128"/>
      <c r="L739" s="129"/>
    </row>
    <row r="740">
      <c r="H740" s="128"/>
      <c r="L740" s="129"/>
    </row>
    <row r="741">
      <c r="H741" s="128"/>
      <c r="L741" s="129"/>
    </row>
    <row r="742">
      <c r="H742" s="128"/>
      <c r="L742" s="129"/>
    </row>
    <row r="743">
      <c r="H743" s="128"/>
      <c r="L743" s="129"/>
    </row>
    <row r="744">
      <c r="H744" s="128"/>
      <c r="L744" s="129"/>
    </row>
    <row r="745">
      <c r="H745" s="128"/>
      <c r="L745" s="129"/>
    </row>
    <row r="746">
      <c r="H746" s="128"/>
      <c r="L746" s="129"/>
    </row>
    <row r="747">
      <c r="H747" s="128"/>
      <c r="L747" s="129"/>
    </row>
    <row r="748">
      <c r="H748" s="128"/>
      <c r="L748" s="129"/>
    </row>
    <row r="749">
      <c r="H749" s="128"/>
      <c r="L749" s="129"/>
    </row>
    <row r="750">
      <c r="H750" s="128"/>
      <c r="L750" s="129"/>
    </row>
    <row r="751">
      <c r="H751" s="128"/>
      <c r="L751" s="129"/>
    </row>
    <row r="752">
      <c r="H752" s="128"/>
      <c r="L752" s="129"/>
    </row>
    <row r="753">
      <c r="H753" s="128"/>
      <c r="L753" s="129"/>
    </row>
    <row r="754">
      <c r="H754" s="128"/>
      <c r="L754" s="129"/>
    </row>
    <row r="755">
      <c r="H755" s="128"/>
      <c r="L755" s="129"/>
    </row>
    <row r="756">
      <c r="H756" s="128"/>
      <c r="L756" s="129"/>
    </row>
    <row r="757">
      <c r="H757" s="128"/>
      <c r="L757" s="129"/>
    </row>
    <row r="758">
      <c r="H758" s="128"/>
      <c r="L758" s="129"/>
    </row>
    <row r="759">
      <c r="H759" s="128"/>
      <c r="L759" s="129"/>
    </row>
    <row r="760">
      <c r="H760" s="128"/>
      <c r="L760" s="129"/>
    </row>
    <row r="761">
      <c r="H761" s="128"/>
      <c r="L761" s="129"/>
    </row>
    <row r="762">
      <c r="H762" s="128"/>
      <c r="L762" s="129"/>
    </row>
    <row r="763">
      <c r="H763" s="128"/>
      <c r="L763" s="129"/>
    </row>
    <row r="764">
      <c r="H764" s="128"/>
      <c r="L764" s="129"/>
    </row>
    <row r="765">
      <c r="H765" s="128"/>
      <c r="L765" s="129"/>
    </row>
    <row r="766">
      <c r="H766" s="128"/>
      <c r="L766" s="129"/>
    </row>
    <row r="767">
      <c r="H767" s="128"/>
      <c r="L767" s="129"/>
    </row>
    <row r="768">
      <c r="H768" s="128"/>
      <c r="L768" s="129"/>
    </row>
    <row r="769">
      <c r="H769" s="128"/>
      <c r="L769" s="129"/>
    </row>
    <row r="770">
      <c r="H770" s="128"/>
      <c r="L770" s="129"/>
    </row>
    <row r="771">
      <c r="H771" s="128"/>
      <c r="L771" s="129"/>
    </row>
    <row r="772">
      <c r="H772" s="128"/>
      <c r="L772" s="129"/>
    </row>
    <row r="773">
      <c r="H773" s="128"/>
      <c r="L773" s="129"/>
    </row>
    <row r="774">
      <c r="H774" s="128"/>
      <c r="L774" s="129"/>
    </row>
    <row r="775">
      <c r="H775" s="128"/>
      <c r="L775" s="129"/>
    </row>
    <row r="776">
      <c r="H776" s="128"/>
      <c r="L776" s="129"/>
    </row>
    <row r="777">
      <c r="H777" s="128"/>
      <c r="L777" s="129"/>
    </row>
    <row r="778">
      <c r="H778" s="128"/>
      <c r="L778" s="129"/>
    </row>
    <row r="779">
      <c r="H779" s="128"/>
      <c r="L779" s="129"/>
    </row>
    <row r="780">
      <c r="H780" s="128"/>
      <c r="L780" s="129"/>
    </row>
    <row r="781">
      <c r="H781" s="128"/>
      <c r="L781" s="129"/>
    </row>
    <row r="782">
      <c r="H782" s="128"/>
      <c r="L782" s="129"/>
    </row>
    <row r="783">
      <c r="H783" s="128"/>
      <c r="L783" s="129"/>
    </row>
    <row r="784">
      <c r="H784" s="128"/>
      <c r="L784" s="129"/>
    </row>
    <row r="785">
      <c r="H785" s="128"/>
      <c r="L785" s="129"/>
    </row>
    <row r="786">
      <c r="H786" s="128"/>
      <c r="L786" s="129"/>
    </row>
    <row r="787">
      <c r="H787" s="128"/>
      <c r="L787" s="129"/>
    </row>
    <row r="788">
      <c r="H788" s="128"/>
      <c r="L788" s="129"/>
    </row>
    <row r="789">
      <c r="H789" s="128"/>
      <c r="L789" s="129"/>
    </row>
    <row r="790">
      <c r="H790" s="128"/>
      <c r="L790" s="129"/>
    </row>
    <row r="791">
      <c r="H791" s="128"/>
      <c r="L791" s="129"/>
    </row>
    <row r="792">
      <c r="H792" s="128"/>
      <c r="L792" s="129"/>
    </row>
    <row r="793">
      <c r="H793" s="128"/>
      <c r="L793" s="129"/>
    </row>
    <row r="794">
      <c r="H794" s="128"/>
      <c r="L794" s="129"/>
    </row>
    <row r="795">
      <c r="H795" s="128"/>
      <c r="L795" s="129"/>
    </row>
    <row r="796">
      <c r="H796" s="128"/>
      <c r="L796" s="129"/>
    </row>
    <row r="797">
      <c r="H797" s="128"/>
      <c r="L797" s="129"/>
    </row>
    <row r="798">
      <c r="H798" s="128"/>
      <c r="L798" s="129"/>
    </row>
    <row r="799">
      <c r="H799" s="128"/>
      <c r="L799" s="129"/>
    </row>
    <row r="800">
      <c r="H800" s="128"/>
      <c r="L800" s="129"/>
    </row>
    <row r="801">
      <c r="H801" s="128"/>
      <c r="L801" s="129"/>
    </row>
    <row r="802">
      <c r="H802" s="128"/>
      <c r="L802" s="129"/>
    </row>
    <row r="803">
      <c r="H803" s="128"/>
      <c r="L803" s="129"/>
    </row>
    <row r="804">
      <c r="H804" s="128"/>
      <c r="L804" s="129"/>
    </row>
    <row r="805">
      <c r="H805" s="128"/>
      <c r="L805" s="129"/>
    </row>
    <row r="806">
      <c r="H806" s="128"/>
      <c r="L806" s="129"/>
    </row>
    <row r="807">
      <c r="H807" s="128"/>
      <c r="L807" s="129"/>
    </row>
    <row r="808">
      <c r="H808" s="128"/>
      <c r="L808" s="129"/>
    </row>
    <row r="809">
      <c r="H809" s="128"/>
      <c r="L809" s="129"/>
    </row>
    <row r="810">
      <c r="H810" s="128"/>
      <c r="L810" s="129"/>
    </row>
    <row r="811">
      <c r="H811" s="128"/>
      <c r="L811" s="129"/>
    </row>
    <row r="812">
      <c r="H812" s="128"/>
      <c r="L812" s="129"/>
    </row>
    <row r="813">
      <c r="H813" s="128"/>
      <c r="L813" s="129"/>
    </row>
    <row r="814">
      <c r="H814" s="128"/>
      <c r="L814" s="129"/>
    </row>
    <row r="815">
      <c r="H815" s="128"/>
      <c r="L815" s="129"/>
    </row>
    <row r="816">
      <c r="H816" s="128"/>
      <c r="L816" s="129"/>
    </row>
    <row r="817">
      <c r="H817" s="128"/>
      <c r="L817" s="129"/>
    </row>
    <row r="818">
      <c r="H818" s="128"/>
      <c r="L818" s="129"/>
    </row>
    <row r="819">
      <c r="H819" s="128"/>
      <c r="L819" s="129"/>
    </row>
    <row r="820">
      <c r="H820" s="128"/>
      <c r="L820" s="129"/>
    </row>
    <row r="821">
      <c r="H821" s="128"/>
      <c r="L821" s="129"/>
    </row>
    <row r="822">
      <c r="H822" s="128"/>
      <c r="L822" s="129"/>
    </row>
    <row r="823">
      <c r="H823" s="128"/>
      <c r="L823" s="129"/>
    </row>
    <row r="824">
      <c r="H824" s="128"/>
      <c r="L824" s="129"/>
    </row>
    <row r="825">
      <c r="H825" s="128"/>
      <c r="L825" s="129"/>
    </row>
    <row r="826">
      <c r="H826" s="128"/>
      <c r="L826" s="129"/>
    </row>
    <row r="827">
      <c r="H827" s="128"/>
      <c r="L827" s="129"/>
    </row>
    <row r="828">
      <c r="H828" s="128"/>
      <c r="L828" s="129"/>
    </row>
    <row r="829">
      <c r="H829" s="128"/>
      <c r="L829" s="129"/>
    </row>
    <row r="830">
      <c r="H830" s="128"/>
      <c r="L830" s="129"/>
    </row>
    <row r="831">
      <c r="H831" s="128"/>
      <c r="L831" s="129"/>
    </row>
    <row r="832">
      <c r="H832" s="128"/>
      <c r="L832" s="129"/>
    </row>
    <row r="833">
      <c r="H833" s="128"/>
      <c r="L833" s="129"/>
    </row>
    <row r="834">
      <c r="H834" s="128"/>
      <c r="L834" s="129"/>
    </row>
    <row r="835">
      <c r="H835" s="128"/>
      <c r="L835" s="129"/>
    </row>
    <row r="836">
      <c r="H836" s="128"/>
      <c r="L836" s="129"/>
    </row>
    <row r="837">
      <c r="H837" s="128"/>
      <c r="L837" s="129"/>
    </row>
    <row r="838">
      <c r="H838" s="128"/>
      <c r="L838" s="129"/>
    </row>
    <row r="839">
      <c r="H839" s="128"/>
      <c r="L839" s="129"/>
    </row>
    <row r="840">
      <c r="H840" s="128"/>
      <c r="L840" s="129"/>
    </row>
    <row r="841">
      <c r="H841" s="128"/>
      <c r="L841" s="129"/>
    </row>
    <row r="842">
      <c r="H842" s="128"/>
      <c r="L842" s="129"/>
    </row>
    <row r="843">
      <c r="H843" s="128"/>
      <c r="L843" s="129"/>
    </row>
    <row r="844">
      <c r="H844" s="128"/>
      <c r="L844" s="129"/>
    </row>
    <row r="845">
      <c r="H845" s="128"/>
      <c r="L845" s="129"/>
    </row>
    <row r="846">
      <c r="H846" s="128"/>
      <c r="L846" s="129"/>
    </row>
    <row r="847">
      <c r="H847" s="128"/>
      <c r="L847" s="129"/>
    </row>
    <row r="848">
      <c r="H848" s="128"/>
      <c r="L848" s="129"/>
    </row>
    <row r="849">
      <c r="H849" s="128"/>
      <c r="L849" s="129"/>
    </row>
    <row r="850">
      <c r="H850" s="128"/>
      <c r="L850" s="129"/>
    </row>
    <row r="851">
      <c r="H851" s="128"/>
      <c r="L851" s="129"/>
    </row>
    <row r="852">
      <c r="H852" s="128"/>
      <c r="L852" s="129"/>
    </row>
    <row r="853">
      <c r="H853" s="128"/>
      <c r="L853" s="129"/>
    </row>
    <row r="854">
      <c r="H854" s="128"/>
      <c r="L854" s="129"/>
    </row>
    <row r="855">
      <c r="H855" s="128"/>
      <c r="L855" s="129"/>
    </row>
    <row r="856">
      <c r="H856" s="128"/>
      <c r="L856" s="129"/>
    </row>
    <row r="857">
      <c r="H857" s="128"/>
      <c r="L857" s="129"/>
    </row>
    <row r="858">
      <c r="H858" s="128"/>
      <c r="L858" s="129"/>
    </row>
    <row r="859">
      <c r="H859" s="128"/>
      <c r="L859" s="129"/>
    </row>
    <row r="860">
      <c r="H860" s="128"/>
      <c r="L860" s="129"/>
    </row>
    <row r="861">
      <c r="H861" s="128"/>
      <c r="L861" s="129"/>
    </row>
    <row r="862">
      <c r="H862" s="128"/>
      <c r="L862" s="129"/>
    </row>
    <row r="863">
      <c r="H863" s="128"/>
      <c r="L863" s="129"/>
    </row>
    <row r="864">
      <c r="H864" s="128"/>
      <c r="L864" s="129"/>
    </row>
    <row r="865">
      <c r="H865" s="128"/>
      <c r="L865" s="129"/>
    </row>
    <row r="866">
      <c r="H866" s="128"/>
      <c r="L866" s="129"/>
    </row>
    <row r="867">
      <c r="H867" s="128"/>
      <c r="L867" s="129"/>
    </row>
    <row r="868">
      <c r="H868" s="128"/>
      <c r="L868" s="129"/>
    </row>
    <row r="869">
      <c r="H869" s="128"/>
      <c r="L869" s="129"/>
    </row>
    <row r="870">
      <c r="H870" s="128"/>
      <c r="L870" s="129"/>
    </row>
    <row r="871">
      <c r="H871" s="128"/>
      <c r="L871" s="129"/>
    </row>
    <row r="872">
      <c r="H872" s="128"/>
      <c r="L872" s="129"/>
    </row>
    <row r="873">
      <c r="H873" s="128"/>
      <c r="L873" s="129"/>
    </row>
    <row r="874">
      <c r="H874" s="128"/>
      <c r="L874" s="129"/>
    </row>
    <row r="875">
      <c r="H875" s="128"/>
      <c r="L875" s="129"/>
    </row>
    <row r="876">
      <c r="H876" s="128"/>
      <c r="L876" s="129"/>
    </row>
    <row r="877">
      <c r="H877" s="128"/>
      <c r="L877" s="129"/>
    </row>
    <row r="878">
      <c r="H878" s="128"/>
      <c r="L878" s="129"/>
    </row>
    <row r="879">
      <c r="H879" s="128"/>
      <c r="L879" s="129"/>
    </row>
    <row r="880">
      <c r="H880" s="128"/>
      <c r="L880" s="129"/>
    </row>
    <row r="881">
      <c r="H881" s="128"/>
      <c r="L881" s="129"/>
    </row>
    <row r="882">
      <c r="H882" s="128"/>
      <c r="L882" s="129"/>
    </row>
    <row r="883">
      <c r="H883" s="128"/>
      <c r="L883" s="129"/>
    </row>
    <row r="884">
      <c r="H884" s="128"/>
      <c r="L884" s="129"/>
    </row>
    <row r="885">
      <c r="H885" s="128"/>
      <c r="L885" s="129"/>
    </row>
    <row r="886">
      <c r="H886" s="128"/>
      <c r="L886" s="129"/>
    </row>
    <row r="887">
      <c r="H887" s="128"/>
      <c r="L887" s="129"/>
    </row>
    <row r="888">
      <c r="H888" s="128"/>
      <c r="L888" s="129"/>
    </row>
    <row r="889">
      <c r="H889" s="128"/>
      <c r="L889" s="129"/>
    </row>
    <row r="890">
      <c r="H890" s="128"/>
      <c r="L890" s="129"/>
    </row>
    <row r="891">
      <c r="H891" s="128"/>
      <c r="L891" s="129"/>
    </row>
    <row r="892">
      <c r="H892" s="128"/>
      <c r="L892" s="129"/>
    </row>
    <row r="893">
      <c r="H893" s="128"/>
      <c r="L893" s="129"/>
    </row>
    <row r="894">
      <c r="H894" s="128"/>
      <c r="L894" s="129"/>
    </row>
    <row r="895">
      <c r="H895" s="128"/>
      <c r="L895" s="129"/>
    </row>
    <row r="896">
      <c r="H896" s="128"/>
      <c r="L896" s="129"/>
    </row>
    <row r="897">
      <c r="H897" s="128"/>
      <c r="L897" s="129"/>
    </row>
    <row r="898">
      <c r="H898" s="128"/>
      <c r="L898" s="129"/>
    </row>
    <row r="899">
      <c r="H899" s="128"/>
      <c r="L899" s="129"/>
    </row>
    <row r="900">
      <c r="H900" s="128"/>
      <c r="L900" s="129"/>
    </row>
    <row r="901">
      <c r="H901" s="128"/>
      <c r="L901" s="129"/>
    </row>
    <row r="902">
      <c r="H902" s="128"/>
      <c r="L902" s="129"/>
    </row>
    <row r="903">
      <c r="H903" s="128"/>
      <c r="L903" s="129"/>
    </row>
    <row r="904">
      <c r="H904" s="128"/>
      <c r="L904" s="129"/>
    </row>
    <row r="905">
      <c r="H905" s="128"/>
      <c r="L905" s="129"/>
    </row>
    <row r="906">
      <c r="H906" s="128"/>
      <c r="L906" s="129"/>
    </row>
    <row r="907">
      <c r="H907" s="128"/>
      <c r="L907" s="129"/>
    </row>
    <row r="908">
      <c r="H908" s="128"/>
      <c r="L908" s="129"/>
    </row>
    <row r="909">
      <c r="H909" s="128"/>
      <c r="L909" s="129"/>
    </row>
    <row r="910">
      <c r="H910" s="128"/>
      <c r="L910" s="129"/>
    </row>
    <row r="911">
      <c r="H911" s="128"/>
      <c r="L911" s="129"/>
    </row>
    <row r="912">
      <c r="H912" s="128"/>
      <c r="L912" s="129"/>
    </row>
    <row r="913">
      <c r="H913" s="128"/>
      <c r="L913" s="129"/>
    </row>
    <row r="914">
      <c r="H914" s="128"/>
      <c r="L914" s="129"/>
    </row>
    <row r="915">
      <c r="H915" s="128"/>
      <c r="L915" s="129"/>
    </row>
    <row r="916">
      <c r="H916" s="128"/>
      <c r="L916" s="129"/>
    </row>
    <row r="917">
      <c r="H917" s="128"/>
      <c r="L917" s="129"/>
    </row>
    <row r="918">
      <c r="H918" s="128"/>
      <c r="L918" s="129"/>
    </row>
    <row r="919">
      <c r="H919" s="128"/>
      <c r="L919" s="129"/>
    </row>
    <row r="920">
      <c r="H920" s="128"/>
      <c r="L920" s="129"/>
    </row>
    <row r="921">
      <c r="H921" s="128"/>
      <c r="L921" s="129"/>
    </row>
    <row r="922">
      <c r="H922" s="128"/>
      <c r="L922" s="129"/>
    </row>
    <row r="923">
      <c r="H923" s="128"/>
      <c r="L923" s="129"/>
    </row>
    <row r="924">
      <c r="H924" s="128"/>
      <c r="L924" s="129"/>
    </row>
    <row r="925">
      <c r="H925" s="128"/>
      <c r="L925" s="129"/>
    </row>
    <row r="926">
      <c r="H926" s="128"/>
      <c r="L926" s="129"/>
    </row>
    <row r="927">
      <c r="H927" s="128"/>
      <c r="L927" s="129"/>
    </row>
    <row r="928">
      <c r="H928" s="128"/>
      <c r="L928" s="129"/>
    </row>
    <row r="929">
      <c r="H929" s="128"/>
      <c r="L929" s="129"/>
    </row>
    <row r="930">
      <c r="H930" s="128"/>
      <c r="L930" s="129"/>
    </row>
    <row r="931">
      <c r="H931" s="128"/>
      <c r="L931" s="129"/>
    </row>
    <row r="932">
      <c r="H932" s="128"/>
      <c r="L932" s="129"/>
    </row>
    <row r="933">
      <c r="H933" s="128"/>
      <c r="L933" s="129"/>
    </row>
    <row r="934">
      <c r="H934" s="128"/>
      <c r="L934" s="129"/>
    </row>
    <row r="935">
      <c r="H935" s="128"/>
      <c r="L935" s="129"/>
    </row>
    <row r="936">
      <c r="H936" s="128"/>
      <c r="L936" s="129"/>
    </row>
    <row r="937">
      <c r="H937" s="128"/>
      <c r="L937" s="129"/>
    </row>
    <row r="938">
      <c r="H938" s="128"/>
      <c r="L938" s="129"/>
    </row>
    <row r="939">
      <c r="H939" s="128"/>
      <c r="L939" s="129"/>
    </row>
    <row r="940">
      <c r="H940" s="128"/>
      <c r="L940" s="129"/>
    </row>
    <row r="941">
      <c r="H941" s="128"/>
      <c r="L941" s="129"/>
    </row>
    <row r="942">
      <c r="H942" s="128"/>
      <c r="L942" s="129"/>
    </row>
    <row r="943">
      <c r="H943" s="128"/>
      <c r="L943" s="129"/>
    </row>
    <row r="944">
      <c r="H944" s="128"/>
      <c r="L944" s="129"/>
    </row>
    <row r="945">
      <c r="H945" s="128"/>
      <c r="L945" s="129"/>
    </row>
    <row r="946">
      <c r="H946" s="128"/>
      <c r="L946" s="129"/>
    </row>
    <row r="947">
      <c r="H947" s="128"/>
      <c r="L947" s="129"/>
    </row>
    <row r="948">
      <c r="H948" s="128"/>
      <c r="L948" s="129"/>
    </row>
    <row r="949">
      <c r="H949" s="128"/>
      <c r="L949" s="129"/>
    </row>
    <row r="950">
      <c r="H950" s="128"/>
      <c r="L950" s="129"/>
    </row>
    <row r="951">
      <c r="H951" s="128"/>
      <c r="L951" s="129"/>
    </row>
    <row r="952">
      <c r="H952" s="128"/>
      <c r="L952" s="129"/>
    </row>
    <row r="953">
      <c r="H953" s="128"/>
      <c r="L953" s="129"/>
    </row>
    <row r="954">
      <c r="H954" s="128"/>
      <c r="L954" s="129"/>
    </row>
    <row r="955">
      <c r="H955" s="128"/>
      <c r="L955" s="129"/>
    </row>
    <row r="956">
      <c r="H956" s="128"/>
      <c r="L956" s="129"/>
    </row>
    <row r="957">
      <c r="H957" s="128"/>
      <c r="L957" s="129"/>
    </row>
    <row r="958">
      <c r="H958" s="128"/>
      <c r="L958" s="129"/>
    </row>
    <row r="959">
      <c r="H959" s="128"/>
      <c r="L959" s="129"/>
    </row>
    <row r="960">
      <c r="H960" s="128"/>
      <c r="L960" s="129"/>
    </row>
    <row r="961">
      <c r="H961" s="128"/>
      <c r="L961" s="129"/>
    </row>
    <row r="962">
      <c r="H962" s="128"/>
      <c r="L962" s="129"/>
    </row>
    <row r="963">
      <c r="H963" s="128"/>
      <c r="L963" s="129"/>
    </row>
    <row r="964">
      <c r="H964" s="128"/>
      <c r="L964" s="129"/>
    </row>
    <row r="965">
      <c r="H965" s="128"/>
      <c r="L965" s="129"/>
    </row>
    <row r="966">
      <c r="H966" s="128"/>
      <c r="L966" s="129"/>
    </row>
    <row r="967">
      <c r="H967" s="128"/>
      <c r="L967" s="129"/>
    </row>
    <row r="968">
      <c r="H968" s="128"/>
      <c r="L968" s="129"/>
    </row>
    <row r="969">
      <c r="H969" s="128"/>
      <c r="L969" s="129"/>
    </row>
    <row r="970">
      <c r="H970" s="128"/>
      <c r="L970" s="129"/>
    </row>
    <row r="971">
      <c r="H971" s="128"/>
      <c r="L971" s="129"/>
    </row>
    <row r="972">
      <c r="H972" s="128"/>
      <c r="L972" s="129"/>
    </row>
    <row r="973">
      <c r="H973" s="128"/>
      <c r="L973" s="129"/>
    </row>
    <row r="974">
      <c r="H974" s="128"/>
      <c r="L974" s="129"/>
    </row>
    <row r="975">
      <c r="H975" s="128"/>
      <c r="L975" s="129"/>
    </row>
    <row r="976">
      <c r="H976" s="128"/>
      <c r="L976" s="129"/>
    </row>
    <row r="977">
      <c r="H977" s="128"/>
      <c r="L977" s="129"/>
    </row>
    <row r="978">
      <c r="H978" s="128"/>
      <c r="L978" s="129"/>
    </row>
    <row r="979">
      <c r="H979" s="128"/>
      <c r="L979" s="129"/>
    </row>
    <row r="980">
      <c r="H980" s="128"/>
      <c r="L980" s="129"/>
    </row>
    <row r="981">
      <c r="H981" s="128"/>
      <c r="L981" s="129"/>
    </row>
    <row r="982">
      <c r="H982" s="128"/>
      <c r="L982" s="129"/>
    </row>
    <row r="983">
      <c r="H983" s="128"/>
      <c r="L983" s="129"/>
    </row>
    <row r="984">
      <c r="H984" s="128"/>
      <c r="L984" s="129"/>
    </row>
    <row r="985">
      <c r="H985" s="128"/>
      <c r="L985" s="129"/>
    </row>
    <row r="986">
      <c r="H986" s="128"/>
      <c r="L986" s="129"/>
    </row>
    <row r="987">
      <c r="H987" s="128"/>
      <c r="L987" s="129"/>
    </row>
    <row r="988">
      <c r="H988" s="128"/>
      <c r="L988" s="129"/>
    </row>
    <row r="989">
      <c r="H989" s="128"/>
      <c r="L989" s="129"/>
    </row>
    <row r="990">
      <c r="H990" s="128"/>
      <c r="L990" s="129"/>
    </row>
    <row r="991">
      <c r="H991" s="128"/>
      <c r="L991" s="129"/>
    </row>
    <row r="992">
      <c r="H992" s="128"/>
      <c r="L992" s="129"/>
    </row>
    <row r="993">
      <c r="H993" s="128"/>
      <c r="L993" s="129"/>
    </row>
    <row r="994">
      <c r="H994" s="128"/>
      <c r="L994" s="129"/>
    </row>
    <row r="995">
      <c r="H995" s="128"/>
      <c r="L995" s="129"/>
    </row>
    <row r="996">
      <c r="H996" s="128"/>
      <c r="L996" s="129"/>
    </row>
    <row r="997">
      <c r="H997" s="128"/>
      <c r="L997" s="129"/>
    </row>
    <row r="998">
      <c r="H998" s="128"/>
      <c r="L998" s="129"/>
    </row>
    <row r="999">
      <c r="H999" s="128"/>
      <c r="L999" s="129"/>
    </row>
    <row r="1000">
      <c r="H1000" s="128"/>
      <c r="L1000" s="129"/>
    </row>
  </sheetData>
  <conditionalFormatting sqref="H24:H26 H32:H33">
    <cfRule type="containsText" dxfId="0" priority="1" operator="containsText" text="3000">
      <formula>NOT(ISERROR(SEARCH(("3000"),(H24))))</formula>
    </cfRule>
  </conditionalFormatting>
  <conditionalFormatting sqref="H33:H35">
    <cfRule type="containsText" dxfId="0" priority="2" operator="containsText" text="10000">
      <formula>NOT(ISERROR(SEARCH(("10000"),(H33))))</formula>
    </cfRule>
  </conditionalFormatting>
  <conditionalFormatting sqref="H33:H38">
    <cfRule type="containsText" dxfId="0" priority="3" operator="containsText" text="10000">
      <formula>NOT(ISERROR(SEARCH(("10000"),(H33))))</formula>
    </cfRule>
  </conditionalFormatting>
  <conditionalFormatting sqref="H22:H30">
    <cfRule type="containsText" dxfId="0" priority="4" operator="containsText" text="3000">
      <formula>NOT(ISERROR(SEARCH(("3000"),(H22))))</formula>
    </cfRule>
  </conditionalFormatting>
  <conditionalFormatting sqref="H28">
    <cfRule type="containsText" dxfId="0" priority="5" operator="containsText" text="10000">
      <formula>NOT(ISERROR(SEARCH(("10000"),(H28))))</formula>
    </cfRule>
  </conditionalFormatting>
  <conditionalFormatting sqref="H28:H29 H33:H38">
    <cfRule type="containsText" dxfId="0" priority="6" operator="containsText" text="10000">
      <formula>NOT(ISERROR(SEARCH(("10000"),(H28))))</formula>
    </cfRule>
  </conditionalFormatting>
  <conditionalFormatting sqref="H22:H30 H32:H33">
    <cfRule type="containsText" dxfId="0" priority="7" operator="containsText" text="3000">
      <formula>NOT(ISERROR(SEARCH(("3000"),(H22))))</formula>
    </cfRule>
  </conditionalFormatting>
  <conditionalFormatting sqref="H28:H29">
    <cfRule type="containsText" dxfId="0" priority="8" operator="containsText" text="10000">
      <formula>NOT(ISERROR(SEARCH(("10000"),(H28))))</formula>
    </cfRule>
  </conditionalFormatting>
  <conditionalFormatting sqref="H22:H23">
    <cfRule type="containsText" dxfId="0" priority="9" operator="containsText" text="3000">
      <formula>NOT(ISERROR(SEARCH(("3000"),(H22))))</formula>
    </cfRule>
  </conditionalFormatting>
  <conditionalFormatting sqref="H23">
    <cfRule type="containsText" dxfId="0" priority="10" operator="containsText" text="3000">
      <formula>NOT(ISERROR(SEARCH(("3000"),(H23))))</formula>
    </cfRule>
  </conditionalFormatting>
  <conditionalFormatting sqref="H14:H38">
    <cfRule type="containsText" dxfId="0" priority="11" operator="containsText" text="5000">
      <formula>NOT(ISERROR(SEARCH(("5000"),(H14))))</formula>
    </cfRule>
  </conditionalFormatting>
  <conditionalFormatting sqref="H28:H29">
    <cfRule type="containsText" dxfId="0" priority="12" operator="containsText" text="10000">
      <formula>NOT(ISERROR(SEARCH(("10000"),(H28))))</formula>
    </cfRule>
  </conditionalFormatting>
  <conditionalFormatting sqref="H20:H31 H33:H38">
    <cfRule type="containsText" dxfId="0" priority="13" operator="containsText" text="7500">
      <formula>NOT(ISERROR(SEARCH(("7500"),(H20))))</formula>
    </cfRule>
  </conditionalFormatting>
  <conditionalFormatting sqref="H24:H38">
    <cfRule type="containsText" dxfId="0" priority="14" operator="containsText" text="22000">
      <formula>NOT(ISERROR(SEARCH(("22000"),(H24))))</formula>
    </cfRule>
  </conditionalFormatting>
  <conditionalFormatting sqref="H27 H32 H34 H36:H37">
    <cfRule type="containsText" dxfId="0" priority="15" operator="containsText" text="25500">
      <formula>NOT(ISERROR(SEARCH(("25500"),(H27))))</formula>
    </cfRule>
  </conditionalFormatting>
  <conditionalFormatting sqref="H14:H33">
    <cfRule type="containsText" dxfId="0" priority="16" operator="containsText" text="37500">
      <formula>NOT(ISERROR(SEARCH(("37500"),(H14))))</formula>
    </cfRule>
  </conditionalFormatting>
  <conditionalFormatting sqref="H14:H30">
    <cfRule type="containsText" dxfId="0" priority="17" operator="containsText" text="21700">
      <formula>NOT(ISERROR(SEARCH(("21700"),(H14))))</formula>
    </cfRule>
  </conditionalFormatting>
  <conditionalFormatting sqref="H14:H38">
    <cfRule type="containsText" dxfId="0" priority="18" operator="containsText" text="13300">
      <formula>NOT(ISERROR(SEARCH(("13300"),(H14))))</formula>
    </cfRule>
  </conditionalFormatting>
  <conditionalFormatting sqref="H28:H38">
    <cfRule type="containsText" dxfId="0" priority="19" operator="containsText" text="$6700">
      <formula>NOT(ISERROR(SEARCH(("$6700"),(H28))))</formula>
    </cfRule>
  </conditionalFormatting>
  <conditionalFormatting sqref="H27:H38">
    <cfRule type="containsText" dxfId="0" priority="20" operator="containsText" text="$25500">
      <formula>NOT(ISERROR(SEARCH(("$25500"),(H27))))</formula>
    </cfRule>
  </conditionalFormatting>
  <conditionalFormatting sqref="H28:H38">
    <cfRule type="containsText" dxfId="0" priority="21" operator="containsText" text="$13000">
      <formula>NOT(ISERROR(SEARCH(("$13000"),(H28))))</formula>
    </cfRule>
  </conditionalFormatting>
  <conditionalFormatting sqref="H28:H38">
    <cfRule type="containsText" dxfId="0" priority="22" operator="containsText" text="$22000">
      <formula>NOT(ISERROR(SEARCH(("$22000"),(H28))))</formula>
    </cfRule>
  </conditionalFormatting>
  <conditionalFormatting sqref="H14:H38">
    <cfRule type="containsText" dxfId="0" priority="23" operator="containsText" text="$5600">
      <formula>NOT(ISERROR(SEARCH(("$5600"),(H14))))</formula>
    </cfRule>
  </conditionalFormatting>
  <conditionalFormatting sqref="H14:H38">
    <cfRule type="containsText" dxfId="0" priority="24" operator="containsText" text="$10200">
      <formula>NOT(ISERROR(SEARCH(("$10200"),(H14))))</formula>
    </cfRule>
  </conditionalFormatting>
  <conditionalFormatting sqref="H33:H38">
    <cfRule type="containsText" dxfId="0" priority="25" operator="containsText" text="$4300">
      <formula>NOT(ISERROR(SEARCH(("$4300"),(H33))))</formula>
    </cfRule>
  </conditionalFormatting>
  <conditionalFormatting sqref="H14:H38">
    <cfRule type="containsText" dxfId="0" priority="26" operator="containsText" text="9400">
      <formula>NOT(ISERROR(SEARCH(("9400"),(H14))))</formula>
    </cfRule>
  </conditionalFormatting>
  <conditionalFormatting sqref="H14:H36">
    <cfRule type="containsText" dxfId="0" priority="27" operator="containsText" text="$5500">
      <formula>NOT(ISERROR(SEARCH(("$5500"),(H14))))</formula>
    </cfRule>
  </conditionalFormatting>
  <conditionalFormatting sqref="H14:H38">
    <cfRule type="beginsWith" dxfId="2" priority="28" operator="beginsWith" text="$0">
      <formula>LEFT((H14),LEN("$0"))=("$0")</formula>
    </cfRule>
  </conditionalFormatting>
  <conditionalFormatting sqref="H14:H38">
    <cfRule type="containsText" dxfId="0" priority="29" operator="containsText" text="$8700">
      <formula>NOT(ISERROR(SEARCH(("$8700"),(H14))))</formula>
    </cfRule>
  </conditionalFormatting>
  <hyperlinks>
    <hyperlink r:id="rId1" ref="I49"/>
    <hyperlink r:id="rId2" ref="I51"/>
    <hyperlink r:id="rId3" ref="E53"/>
    <hyperlink r:id="rId4" ref="I53"/>
    <hyperlink r:id="rId5" ref="D63"/>
    <hyperlink r:id="rId6" ref="D65"/>
  </hyperlinks>
  <drawing r:id="rId7"/>
  <tableParts count="1"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13"/>
  </cols>
  <sheetData>
    <row r="8">
      <c r="D8" s="134" t="s">
        <v>166</v>
      </c>
      <c r="E8" s="134" t="s">
        <v>167</v>
      </c>
      <c r="F8" s="134" t="s">
        <v>168</v>
      </c>
      <c r="G8" s="134" t="s">
        <v>169</v>
      </c>
    </row>
    <row r="9">
      <c r="D9" s="134" t="s">
        <v>170</v>
      </c>
      <c r="E9" s="134">
        <v>66.0</v>
      </c>
      <c r="F9" s="134">
        <v>52.0</v>
      </c>
      <c r="G9" s="134" t="s">
        <v>171</v>
      </c>
    </row>
    <row r="10">
      <c r="D10" s="134" t="s">
        <v>172</v>
      </c>
      <c r="E10" s="134">
        <v>67.0</v>
      </c>
      <c r="F10" s="134">
        <v>52.0</v>
      </c>
      <c r="G10" s="134" t="s">
        <v>173</v>
      </c>
    </row>
    <row r="11">
      <c r="D11" s="134" t="s">
        <v>174</v>
      </c>
      <c r="E11" s="134">
        <v>69.0</v>
      </c>
      <c r="F11" s="134">
        <v>55.0</v>
      </c>
      <c r="G11" s="134" t="s">
        <v>175</v>
      </c>
    </row>
    <row r="12">
      <c r="D12" s="134" t="s">
        <v>176</v>
      </c>
      <c r="E12" s="134">
        <v>70.0</v>
      </c>
      <c r="F12" s="134">
        <v>54.0</v>
      </c>
      <c r="G12" s="134" t="s">
        <v>177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4.38"/>
    <col customWidth="1" min="4" max="5" width="18.75"/>
    <col customWidth="1" min="6" max="6" width="9.88"/>
    <col customWidth="1" min="7" max="7" width="16.0"/>
    <col customWidth="1" min="8" max="8" width="6.0"/>
    <col customWidth="1" min="9" max="9" width="9.88"/>
    <col customWidth="1" min="13" max="13" width="16.0"/>
    <col customWidth="1" min="14" max="14" width="20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24"/>
      <c r="Q1" s="124"/>
      <c r="R1" s="124"/>
      <c r="S1" s="124"/>
      <c r="T1" s="124"/>
      <c r="U1" s="135"/>
      <c r="V1" s="135"/>
      <c r="W1" s="135"/>
      <c r="X1" s="135"/>
    </row>
    <row r="2">
      <c r="A2" s="25">
        <f>SUM(D10,D7)</f>
        <v>500000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7" t="s">
        <v>178</v>
      </c>
      <c r="O2" s="1"/>
      <c r="P2" s="124"/>
      <c r="Q2" s="124"/>
      <c r="R2" s="124"/>
      <c r="S2" s="124"/>
      <c r="T2" s="124"/>
      <c r="U2" s="135"/>
      <c r="V2" s="136"/>
      <c r="W2" s="135"/>
      <c r="X2" s="135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24"/>
      <c r="Q3" s="124"/>
      <c r="R3" s="124"/>
      <c r="S3" s="124"/>
      <c r="T3" s="124"/>
      <c r="U3" s="135"/>
      <c r="V3" s="135"/>
      <c r="W3" s="135"/>
      <c r="X3" s="135"/>
    </row>
    <row r="4">
      <c r="A4" s="1"/>
      <c r="B4" s="1"/>
      <c r="C4" s="1"/>
      <c r="D4" s="1"/>
      <c r="E4" s="1"/>
      <c r="F4" s="1"/>
      <c r="G4" s="1"/>
      <c r="H4" s="137" t="s">
        <v>179</v>
      </c>
      <c r="I4" s="137" t="s">
        <v>180</v>
      </c>
      <c r="J4" s="1"/>
      <c r="K4" s="1"/>
      <c r="L4" s="1"/>
      <c r="M4" s="138" t="s">
        <v>181</v>
      </c>
      <c r="N4" s="1"/>
      <c r="O4" s="1"/>
      <c r="P4" s="139" t="s">
        <v>182</v>
      </c>
      <c r="Q4" s="139" t="s">
        <v>183</v>
      </c>
      <c r="R4" s="139" t="s">
        <v>184</v>
      </c>
      <c r="S4" s="139" t="s">
        <v>185</v>
      </c>
      <c r="T4" s="124"/>
      <c r="U4" s="135"/>
      <c r="V4" s="135"/>
      <c r="W4" s="135"/>
      <c r="X4" s="135"/>
    </row>
    <row r="5">
      <c r="A5" s="73">
        <f>$A$2*0.28</f>
        <v>140000</v>
      </c>
      <c r="B5" s="1"/>
      <c r="C5" s="1"/>
      <c r="D5" s="1"/>
      <c r="E5" s="1"/>
      <c r="F5" s="1"/>
      <c r="G5" s="1"/>
      <c r="H5" s="140">
        <v>30.0</v>
      </c>
      <c r="I5" s="141">
        <f t="shared" ref="I5:I10" si="1">M5/H5</f>
        <v>21333.33333</v>
      </c>
      <c r="J5" s="1"/>
      <c r="K5" s="1"/>
      <c r="L5" s="1"/>
      <c r="M5" s="142">
        <f t="shared" ref="M5:M10" si="2">SUM($A$2,A5)</f>
        <v>640000</v>
      </c>
      <c r="N5" s="1"/>
      <c r="O5" s="1"/>
      <c r="P5" s="143">
        <v>650.0</v>
      </c>
      <c r="Q5" s="144">
        <v>0.13</v>
      </c>
      <c r="R5" s="143">
        <v>1210.0</v>
      </c>
      <c r="S5" s="143"/>
      <c r="T5" s="124"/>
      <c r="U5" s="135"/>
      <c r="V5" s="135"/>
      <c r="W5" s="135"/>
      <c r="X5" s="135"/>
    </row>
    <row r="6">
      <c r="A6" s="73">
        <f>$A$2*0.43</f>
        <v>215000</v>
      </c>
      <c r="B6" s="1"/>
      <c r="C6" s="1"/>
      <c r="D6" s="145" t="s">
        <v>186</v>
      </c>
      <c r="E6" s="17"/>
      <c r="F6" s="1"/>
      <c r="G6" s="1"/>
      <c r="H6" s="27">
        <v>45.0</v>
      </c>
      <c r="I6" s="141">
        <f t="shared" si="1"/>
        <v>15888.88889</v>
      </c>
      <c r="J6" s="1"/>
      <c r="K6" s="1"/>
      <c r="L6" s="1"/>
      <c r="M6" s="142">
        <f t="shared" si="2"/>
        <v>715000</v>
      </c>
      <c r="N6" s="1"/>
      <c r="O6" s="1"/>
      <c r="P6" s="143" t="s">
        <v>187</v>
      </c>
      <c r="Q6" s="143" t="s">
        <v>183</v>
      </c>
      <c r="R6" s="143" t="s">
        <v>188</v>
      </c>
      <c r="S6" s="143" t="s">
        <v>9</v>
      </c>
      <c r="T6" s="143" t="s">
        <v>189</v>
      </c>
      <c r="U6" s="146"/>
      <c r="V6" s="147"/>
      <c r="W6" s="135"/>
      <c r="X6" s="135"/>
    </row>
    <row r="7">
      <c r="A7" s="73">
        <f>$A$2*0.58</f>
        <v>290000</v>
      </c>
      <c r="B7" s="1"/>
      <c r="C7" s="1"/>
      <c r="D7" s="148">
        <v>0.0</v>
      </c>
      <c r="E7" s="73"/>
      <c r="F7" s="1"/>
      <c r="G7" s="1"/>
      <c r="H7" s="140">
        <v>60.0</v>
      </c>
      <c r="I7" s="141">
        <f t="shared" si="1"/>
        <v>13166.66667</v>
      </c>
      <c r="J7" s="1"/>
      <c r="K7" s="1"/>
      <c r="L7" s="1"/>
      <c r="M7" s="142">
        <f t="shared" si="2"/>
        <v>790000</v>
      </c>
      <c r="N7" s="1"/>
      <c r="O7" s="1"/>
      <c r="P7" s="143" t="s">
        <v>190</v>
      </c>
      <c r="Q7" s="149">
        <f>$P$5*0.13</f>
        <v>84.5</v>
      </c>
      <c r="R7" s="143" t="str">
        <f t="shared" ref="R7:R12" si="3">$U$2</f>
        <v/>
      </c>
      <c r="S7" s="149">
        <f t="shared" ref="S7:S12" si="4">SUM(Q7,R7)</f>
        <v>84.5</v>
      </c>
      <c r="T7" s="150">
        <f t="shared" ref="T7:T12" si="5">S7*$R$5</f>
        <v>102245</v>
      </c>
      <c r="U7" s="135"/>
      <c r="V7" s="151"/>
      <c r="W7" s="135"/>
      <c r="X7" s="135"/>
    </row>
    <row r="8">
      <c r="A8" s="73">
        <f>$A$2*0.88</f>
        <v>440000</v>
      </c>
      <c r="B8" s="1"/>
      <c r="C8" s="1"/>
      <c r="D8" s="25"/>
      <c r="E8" s="25"/>
      <c r="F8" s="1"/>
      <c r="G8" s="1"/>
      <c r="H8" s="140">
        <v>90.0</v>
      </c>
      <c r="I8" s="141">
        <f t="shared" si="1"/>
        <v>10444.44444</v>
      </c>
      <c r="J8" s="1"/>
      <c r="K8" s="1"/>
      <c r="L8" s="1"/>
      <c r="M8" s="142">
        <f t="shared" si="2"/>
        <v>940000</v>
      </c>
      <c r="N8" s="1"/>
      <c r="O8" s="1"/>
      <c r="P8" s="143" t="s">
        <v>191</v>
      </c>
      <c r="Q8" s="149">
        <f t="shared" ref="Q8:Q12" si="6">V3*0.13</f>
        <v>0</v>
      </c>
      <c r="R8" s="143" t="str">
        <f t="shared" si="3"/>
        <v/>
      </c>
      <c r="S8" s="149">
        <f t="shared" si="4"/>
        <v>0</v>
      </c>
      <c r="T8" s="150">
        <f t="shared" si="5"/>
        <v>0</v>
      </c>
      <c r="U8" s="135"/>
      <c r="V8" s="151"/>
      <c r="W8" s="135"/>
      <c r="X8" s="135"/>
    </row>
    <row r="9">
      <c r="A9" s="73">
        <f>$A$2*1</f>
        <v>500000</v>
      </c>
      <c r="B9" s="25"/>
      <c r="C9" s="1"/>
      <c r="D9" s="152" t="s">
        <v>135</v>
      </c>
      <c r="E9" s="73"/>
      <c r="F9" s="1"/>
      <c r="G9" s="1"/>
      <c r="H9" s="140">
        <v>120.0</v>
      </c>
      <c r="I9" s="141">
        <f t="shared" si="1"/>
        <v>8333.333333</v>
      </c>
      <c r="J9" s="1"/>
      <c r="K9" s="1"/>
      <c r="L9" s="1"/>
      <c r="M9" s="142">
        <f t="shared" si="2"/>
        <v>1000000</v>
      </c>
      <c r="N9" s="1"/>
      <c r="O9" s="1"/>
      <c r="P9" s="143" t="s">
        <v>192</v>
      </c>
      <c r="Q9" s="149">
        <f t="shared" si="6"/>
        <v>0</v>
      </c>
      <c r="R9" s="143" t="str">
        <f t="shared" si="3"/>
        <v/>
      </c>
      <c r="S9" s="149">
        <f t="shared" si="4"/>
        <v>0</v>
      </c>
      <c r="T9" s="150">
        <f t="shared" si="5"/>
        <v>0</v>
      </c>
      <c r="U9" s="135"/>
      <c r="V9" s="151"/>
      <c r="W9" s="135"/>
      <c r="X9" s="135"/>
    </row>
    <row r="10">
      <c r="A10" s="73">
        <f>$A$2*1.4</f>
        <v>700000</v>
      </c>
      <c r="B10" s="25"/>
      <c r="C10" s="25"/>
      <c r="D10" s="152">
        <v>500000.0</v>
      </c>
      <c r="E10" s="73"/>
      <c r="F10" s="1"/>
      <c r="G10" s="1"/>
      <c r="H10" s="140">
        <v>160.0</v>
      </c>
      <c r="I10" s="141">
        <f t="shared" si="1"/>
        <v>7500</v>
      </c>
      <c r="J10" s="1"/>
      <c r="K10" s="1"/>
      <c r="L10" s="1"/>
      <c r="M10" s="142">
        <f t="shared" si="2"/>
        <v>1200000</v>
      </c>
      <c r="N10" s="1"/>
      <c r="O10" s="1"/>
      <c r="P10" s="143" t="s">
        <v>193</v>
      </c>
      <c r="Q10" s="149">
        <f t="shared" si="6"/>
        <v>0</v>
      </c>
      <c r="R10" s="143" t="str">
        <f t="shared" si="3"/>
        <v/>
      </c>
      <c r="S10" s="149">
        <f t="shared" si="4"/>
        <v>0</v>
      </c>
      <c r="T10" s="150">
        <f t="shared" si="5"/>
        <v>0</v>
      </c>
      <c r="U10" s="135"/>
      <c r="V10" s="151"/>
      <c r="W10" s="135"/>
      <c r="X10" s="135"/>
    </row>
    <row r="11">
      <c r="A11" s="1"/>
      <c r="B11" s="25"/>
      <c r="C11" s="25"/>
      <c r="D11" s="17">
        <v>6.0</v>
      </c>
      <c r="E11" s="1"/>
      <c r="F11" s="25"/>
      <c r="G11" s="25"/>
      <c r="H11" s="1"/>
      <c r="I11" s="1"/>
      <c r="J11" s="1"/>
      <c r="K11" s="1"/>
      <c r="L11" s="1"/>
      <c r="M11" s="1"/>
      <c r="N11" s="1"/>
      <c r="O11" s="1"/>
      <c r="P11" s="56" t="s">
        <v>194</v>
      </c>
      <c r="Q11" s="59">
        <f t="shared" si="6"/>
        <v>0</v>
      </c>
      <c r="R11" s="56" t="str">
        <f t="shared" si="3"/>
        <v/>
      </c>
      <c r="S11" s="59">
        <f t="shared" si="4"/>
        <v>0</v>
      </c>
      <c r="T11" s="55">
        <f t="shared" si="5"/>
        <v>0</v>
      </c>
      <c r="U11" s="1"/>
      <c r="V11" s="151"/>
      <c r="W11" s="135"/>
      <c r="X11" s="135"/>
    </row>
    <row r="12">
      <c r="A12" s="1"/>
      <c r="B12" s="25"/>
      <c r="C12" s="1"/>
      <c r="D12" s="1"/>
      <c r="E12" s="1"/>
      <c r="F12" s="25"/>
      <c r="G12" s="25"/>
      <c r="H12" s="1"/>
      <c r="I12" s="1"/>
      <c r="J12" s="1"/>
      <c r="K12" s="17" t="s">
        <v>195</v>
      </c>
      <c r="L12" s="1"/>
      <c r="M12" s="1"/>
      <c r="N12" s="1"/>
      <c r="O12" s="1"/>
      <c r="P12" s="56" t="s">
        <v>196</v>
      </c>
      <c r="Q12" s="59">
        <f t="shared" si="6"/>
        <v>0</v>
      </c>
      <c r="R12" s="56" t="str">
        <f t="shared" si="3"/>
        <v/>
      </c>
      <c r="S12" s="59">
        <f t="shared" si="4"/>
        <v>0</v>
      </c>
      <c r="T12" s="55">
        <f t="shared" si="5"/>
        <v>0</v>
      </c>
      <c r="U12" s="1"/>
      <c r="V12" s="151"/>
      <c r="W12" s="135"/>
      <c r="X12" s="135"/>
    </row>
    <row r="13">
      <c r="A13" s="1"/>
      <c r="B13" s="1"/>
      <c r="C13" s="1"/>
      <c r="D13" s="1"/>
      <c r="E13" s="1"/>
      <c r="F13" s="25"/>
      <c r="G13" s="73">
        <v>8700.0</v>
      </c>
      <c r="H13" s="1"/>
      <c r="I13" s="1"/>
      <c r="J13" s="1"/>
      <c r="K13" s="17" t="s">
        <v>197</v>
      </c>
      <c r="L13" s="1"/>
      <c r="M13" s="1"/>
      <c r="N13" s="1"/>
      <c r="O13" s="1"/>
      <c r="P13" s="74"/>
      <c r="Q13" s="1"/>
      <c r="R13" s="74"/>
      <c r="S13" s="1"/>
      <c r="T13" s="25"/>
      <c r="U13" s="1"/>
      <c r="V13" s="153"/>
      <c r="W13" s="1"/>
      <c r="X13" s="1"/>
    </row>
    <row r="14">
      <c r="A14" s="1"/>
      <c r="B14" s="1"/>
      <c r="C14" s="1"/>
      <c r="D14" s="1"/>
      <c r="E14" s="1"/>
      <c r="F14" s="1"/>
      <c r="G14" s="17">
        <v>13000.0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7">
        <v>1300.0</v>
      </c>
      <c r="Q15" s="17" t="s">
        <v>198</v>
      </c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7" t="s">
        <v>199</v>
      </c>
      <c r="E16" s="17"/>
      <c r="F16" s="1"/>
      <c r="G16" s="1"/>
      <c r="H16" s="1"/>
      <c r="I16" s="1"/>
      <c r="J16" s="1"/>
      <c r="K16" s="1"/>
      <c r="L16" s="1"/>
      <c r="M16" s="1"/>
      <c r="N16" s="1"/>
      <c r="O16" s="1"/>
      <c r="P16" s="17">
        <v>1150.0</v>
      </c>
      <c r="Q16" s="17" t="s">
        <v>200</v>
      </c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7" t="s">
        <v>201</v>
      </c>
      <c r="E17" s="17"/>
      <c r="F17" s="1"/>
      <c r="G17" s="1"/>
      <c r="H17" s="1"/>
      <c r="I17" s="1"/>
      <c r="J17" s="1"/>
      <c r="K17" s="1"/>
      <c r="L17" s="1"/>
      <c r="M17" s="1"/>
      <c r="N17" s="1"/>
      <c r="O17" s="1"/>
      <c r="P17" s="73">
        <v>1476000.0</v>
      </c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7" t="s">
        <v>202</v>
      </c>
      <c r="E18" s="1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7" t="s">
        <v>203</v>
      </c>
      <c r="E19" s="1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7">
        <v>30.0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7">
        <v>1000.0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K37" s="28">
        <f>30*64</f>
        <v>1920</v>
      </c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O38" s="1"/>
      <c r="P38" s="1"/>
      <c r="Q38" s="1"/>
      <c r="R38" s="1"/>
      <c r="S38" s="1"/>
      <c r="T38" s="1"/>
      <c r="U38" s="1"/>
      <c r="V38" s="1"/>
      <c r="W38" s="1"/>
      <c r="X38" s="1"/>
    </row>
    <row r="40">
      <c r="A40" s="1">
        <f>SUM(D48,D45)</f>
        <v>0</v>
      </c>
      <c r="L40" s="28">
        <f>28-6-4-3</f>
        <v>15</v>
      </c>
    </row>
    <row r="41">
      <c r="A41" s="1"/>
    </row>
    <row r="42">
      <c r="A42" s="1"/>
    </row>
    <row r="43">
      <c r="A43" s="73">
        <f>$A$2*0.28</f>
        <v>140000</v>
      </c>
    </row>
    <row r="44">
      <c r="A44" s="73">
        <f>$A$2*0.43</f>
        <v>215000</v>
      </c>
      <c r="J44" s="28">
        <f>226/4</f>
        <v>56.5</v>
      </c>
    </row>
    <row r="45">
      <c r="A45" s="73">
        <f>$A$2*0.58</f>
        <v>290000</v>
      </c>
      <c r="J45" s="27" t="s">
        <v>204</v>
      </c>
      <c r="K45" s="27">
        <v>248600.0</v>
      </c>
    </row>
    <row r="46">
      <c r="A46" s="154">
        <f>$A$2*0.88</f>
        <v>440000</v>
      </c>
      <c r="J46" s="27">
        <v>649.0</v>
      </c>
    </row>
    <row r="47">
      <c r="A47" s="73">
        <f>$A$2*1</f>
        <v>500000</v>
      </c>
    </row>
    <row r="48">
      <c r="A48" s="73">
        <f>$A$2*1.4</f>
        <v>700000</v>
      </c>
      <c r="G48" s="28" t="str">
        <f>2O000/4</f>
        <v>#ERROR!</v>
      </c>
    </row>
    <row r="49">
      <c r="A49" s="1"/>
      <c r="G49" s="28">
        <f>6*3000</f>
        <v>18000</v>
      </c>
    </row>
    <row r="57">
      <c r="G57" s="27" t="s">
        <v>4</v>
      </c>
    </row>
    <row r="58">
      <c r="G58" s="155">
        <v>30300.0</v>
      </c>
    </row>
    <row r="59">
      <c r="G59" s="155">
        <v>350000.0</v>
      </c>
      <c r="N59" s="155" t="s">
        <v>205</v>
      </c>
      <c r="O59" s="27" t="s">
        <v>206</v>
      </c>
      <c r="P59" s="27" t="s">
        <v>207</v>
      </c>
      <c r="Q59" s="27" t="s">
        <v>208</v>
      </c>
    </row>
    <row r="60">
      <c r="G60" s="4"/>
    </row>
    <row r="61">
      <c r="G61" s="4"/>
    </row>
    <row r="62">
      <c r="G62" s="4"/>
    </row>
    <row r="63">
      <c r="G63" s="4"/>
    </row>
    <row r="64">
      <c r="G64" s="4"/>
    </row>
    <row r="65">
      <c r="G65" s="4"/>
    </row>
    <row r="66">
      <c r="G66" s="4"/>
    </row>
  </sheetData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50.5"/>
    <col customWidth="1" min="3" max="3" width="15.13"/>
    <col customWidth="1" min="4" max="4" width="31.5"/>
    <col customWidth="1" min="9" max="9" width="18.88"/>
    <col customWidth="1" min="10" max="10" width="17.38"/>
    <col customWidth="1" min="11" max="11" width="13.88"/>
  </cols>
  <sheetData>
    <row r="1">
      <c r="A1" s="156"/>
      <c r="B1" s="156"/>
      <c r="C1" s="157"/>
      <c r="D1" s="158"/>
      <c r="E1" s="159"/>
      <c r="F1" s="159"/>
      <c r="G1" s="159"/>
      <c r="H1" s="159"/>
      <c r="I1" s="160"/>
      <c r="J1" s="159"/>
      <c r="K1" s="159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</row>
    <row r="2">
      <c r="A2" s="156"/>
      <c r="B2" s="156" t="s">
        <v>209</v>
      </c>
      <c r="C2" s="162" t="s">
        <v>210</v>
      </c>
      <c r="D2" s="163" t="s">
        <v>211</v>
      </c>
      <c r="E2" s="159"/>
      <c r="F2" s="159"/>
      <c r="G2" s="159"/>
      <c r="H2" s="159"/>
      <c r="I2" s="163" t="s">
        <v>212</v>
      </c>
      <c r="J2" s="164" t="s">
        <v>213</v>
      </c>
      <c r="K2" s="164" t="s">
        <v>214</v>
      </c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</row>
    <row r="3">
      <c r="A3" s="165" t="s">
        <v>215</v>
      </c>
      <c r="B3" s="165" t="s">
        <v>216</v>
      </c>
      <c r="C3" s="166" t="s">
        <v>217</v>
      </c>
      <c r="D3" s="167"/>
      <c r="E3" s="168"/>
      <c r="F3" s="168"/>
      <c r="G3" s="168"/>
      <c r="H3" s="168"/>
      <c r="I3" s="167"/>
      <c r="J3" s="169">
        <f t="shared" ref="J3:J19" si="1">K3*$N$42</f>
        <v>203775</v>
      </c>
      <c r="K3" s="170">
        <v>165.0</v>
      </c>
    </row>
    <row r="4">
      <c r="A4" s="165" t="s">
        <v>215</v>
      </c>
      <c r="B4" s="165" t="s">
        <v>218</v>
      </c>
      <c r="C4" s="166" t="s">
        <v>217</v>
      </c>
      <c r="D4" s="167"/>
      <c r="E4" s="168"/>
      <c r="F4" s="168"/>
      <c r="G4" s="168"/>
      <c r="H4" s="168"/>
      <c r="I4" s="167"/>
      <c r="J4" s="169">
        <f t="shared" si="1"/>
        <v>217360</v>
      </c>
      <c r="K4" s="170">
        <v>176.0</v>
      </c>
    </row>
    <row r="5">
      <c r="A5" s="165" t="s">
        <v>215</v>
      </c>
      <c r="B5" s="165" t="s">
        <v>219</v>
      </c>
      <c r="C5" s="166" t="s">
        <v>217</v>
      </c>
      <c r="D5" s="167"/>
      <c r="E5" s="168"/>
      <c r="F5" s="168"/>
      <c r="G5" s="168"/>
      <c r="H5" s="168"/>
      <c r="I5" s="167"/>
      <c r="J5" s="169">
        <f t="shared" si="1"/>
        <v>234650</v>
      </c>
      <c r="K5" s="170">
        <v>190.0</v>
      </c>
    </row>
    <row r="6">
      <c r="A6" s="165" t="s">
        <v>215</v>
      </c>
      <c r="B6" s="165" t="s">
        <v>220</v>
      </c>
      <c r="C6" s="166" t="s">
        <v>217</v>
      </c>
      <c r="D6" s="167"/>
      <c r="E6" s="168"/>
      <c r="F6" s="168"/>
      <c r="G6" s="168"/>
      <c r="H6" s="168"/>
      <c r="I6" s="167"/>
      <c r="J6" s="169">
        <f t="shared" si="1"/>
        <v>234650</v>
      </c>
      <c r="K6" s="170">
        <v>190.0</v>
      </c>
    </row>
    <row r="7">
      <c r="A7" s="165" t="s">
        <v>215</v>
      </c>
      <c r="B7" s="165" t="s">
        <v>221</v>
      </c>
      <c r="C7" s="166" t="s">
        <v>217</v>
      </c>
      <c r="D7" s="167"/>
      <c r="E7" s="168"/>
      <c r="F7" s="168"/>
      <c r="G7" s="168"/>
      <c r="H7" s="168"/>
      <c r="I7" s="167"/>
      <c r="J7" s="169">
        <f t="shared" si="1"/>
        <v>247000</v>
      </c>
      <c r="K7" s="170">
        <v>200.0</v>
      </c>
    </row>
    <row r="8">
      <c r="A8" s="165" t="s">
        <v>215</v>
      </c>
      <c r="B8" s="165" t="s">
        <v>222</v>
      </c>
      <c r="C8" s="166" t="s">
        <v>217</v>
      </c>
      <c r="D8" s="167"/>
      <c r="E8" s="168"/>
      <c r="F8" s="168"/>
      <c r="G8" s="168"/>
      <c r="H8" s="168"/>
      <c r="I8" s="167"/>
      <c r="J8" s="169">
        <f t="shared" si="1"/>
        <v>253175</v>
      </c>
      <c r="K8" s="170">
        <v>205.0</v>
      </c>
    </row>
    <row r="9">
      <c r="A9" s="165" t="s">
        <v>215</v>
      </c>
      <c r="B9" s="165" t="s">
        <v>223</v>
      </c>
      <c r="C9" s="166" t="s">
        <v>217</v>
      </c>
      <c r="D9" s="167"/>
      <c r="E9" s="168"/>
      <c r="F9" s="168"/>
      <c r="G9" s="168"/>
      <c r="H9" s="168"/>
      <c r="I9" s="167"/>
      <c r="J9" s="169">
        <f t="shared" si="1"/>
        <v>308750</v>
      </c>
      <c r="K9" s="170">
        <v>250.0</v>
      </c>
    </row>
    <row r="10">
      <c r="A10" s="165" t="s">
        <v>215</v>
      </c>
      <c r="B10" s="165" t="s">
        <v>224</v>
      </c>
      <c r="C10" s="166" t="s">
        <v>217</v>
      </c>
      <c r="D10" s="167"/>
      <c r="E10" s="168"/>
      <c r="F10" s="168"/>
      <c r="G10" s="168"/>
      <c r="H10" s="168"/>
      <c r="I10" s="167"/>
      <c r="J10" s="169">
        <f t="shared" si="1"/>
        <v>327275</v>
      </c>
      <c r="K10" s="170">
        <v>265.0</v>
      </c>
    </row>
    <row r="11">
      <c r="A11" s="165" t="s">
        <v>215</v>
      </c>
      <c r="B11" s="165" t="s">
        <v>225</v>
      </c>
      <c r="C11" s="166" t="s">
        <v>217</v>
      </c>
      <c r="D11" s="167"/>
      <c r="E11" s="168"/>
      <c r="F11" s="168"/>
      <c r="G11" s="168"/>
      <c r="H11" s="168"/>
      <c r="I11" s="167"/>
      <c r="J11" s="169">
        <f t="shared" si="1"/>
        <v>351975</v>
      </c>
      <c r="K11" s="170">
        <v>285.0</v>
      </c>
    </row>
    <row r="12">
      <c r="A12" s="165" t="s">
        <v>215</v>
      </c>
      <c r="B12" s="165" t="s">
        <v>226</v>
      </c>
      <c r="C12" s="166" t="s">
        <v>217</v>
      </c>
      <c r="D12" s="167"/>
      <c r="E12" s="168"/>
      <c r="F12" s="168"/>
      <c r="G12" s="168"/>
      <c r="H12" s="168"/>
      <c r="I12" s="167"/>
      <c r="J12" s="169">
        <f t="shared" si="1"/>
        <v>438425</v>
      </c>
      <c r="K12" s="170">
        <v>355.0</v>
      </c>
    </row>
    <row r="13">
      <c r="A13" s="165" t="s">
        <v>215</v>
      </c>
      <c r="B13" s="165" t="s">
        <v>227</v>
      </c>
      <c r="C13" s="166" t="s">
        <v>217</v>
      </c>
      <c r="D13" s="167"/>
      <c r="E13" s="168"/>
      <c r="F13" s="168"/>
      <c r="G13" s="168"/>
      <c r="H13" s="168"/>
      <c r="I13" s="167"/>
      <c r="J13" s="169">
        <f t="shared" si="1"/>
        <v>500175</v>
      </c>
      <c r="K13" s="170">
        <v>405.0</v>
      </c>
    </row>
    <row r="14">
      <c r="A14" s="165" t="s">
        <v>215</v>
      </c>
      <c r="B14" s="165" t="s">
        <v>228</v>
      </c>
      <c r="C14" s="166" t="s">
        <v>217</v>
      </c>
      <c r="D14" s="167"/>
      <c r="E14" s="168"/>
      <c r="F14" s="168"/>
      <c r="G14" s="168"/>
      <c r="H14" s="168"/>
      <c r="I14" s="167"/>
      <c r="J14" s="169">
        <f t="shared" si="1"/>
        <v>314925</v>
      </c>
      <c r="K14" s="170">
        <v>255.0</v>
      </c>
    </row>
    <row r="15">
      <c r="A15" s="165" t="s">
        <v>215</v>
      </c>
      <c r="B15" s="165" t="s">
        <v>229</v>
      </c>
      <c r="C15" s="166" t="s">
        <v>217</v>
      </c>
      <c r="D15" s="167"/>
      <c r="E15" s="168"/>
      <c r="F15" s="168"/>
      <c r="G15" s="168"/>
      <c r="H15" s="168"/>
      <c r="I15" s="167"/>
      <c r="J15" s="169">
        <f t="shared" si="1"/>
        <v>771875</v>
      </c>
      <c r="K15" s="170">
        <v>625.0</v>
      </c>
    </row>
    <row r="16">
      <c r="A16" s="165" t="s">
        <v>215</v>
      </c>
      <c r="B16" s="165" t="s">
        <v>230</v>
      </c>
      <c r="C16" s="166" t="s">
        <v>217</v>
      </c>
      <c r="D16" s="167"/>
      <c r="E16" s="168"/>
      <c r="F16" s="168"/>
      <c r="G16" s="168"/>
      <c r="H16" s="168"/>
      <c r="I16" s="167"/>
      <c r="J16" s="169">
        <f t="shared" si="1"/>
        <v>1037400</v>
      </c>
      <c r="K16" s="170">
        <v>840.0</v>
      </c>
    </row>
    <row r="17">
      <c r="A17" s="165" t="s">
        <v>215</v>
      </c>
      <c r="B17" s="165" t="s">
        <v>231</v>
      </c>
      <c r="C17" s="166" t="s">
        <v>217</v>
      </c>
      <c r="D17" s="167"/>
      <c r="E17" s="168"/>
      <c r="F17" s="168"/>
      <c r="G17" s="168"/>
      <c r="H17" s="168"/>
      <c r="I17" s="167"/>
      <c r="J17" s="169">
        <f t="shared" si="1"/>
        <v>1167075</v>
      </c>
      <c r="K17" s="170">
        <v>945.0</v>
      </c>
    </row>
    <row r="18">
      <c r="A18" s="165" t="s">
        <v>215</v>
      </c>
      <c r="B18" s="165" t="s">
        <v>232</v>
      </c>
      <c r="C18" s="166" t="s">
        <v>217</v>
      </c>
      <c r="D18" s="167"/>
      <c r="E18" s="168"/>
      <c r="F18" s="168"/>
      <c r="G18" s="168"/>
      <c r="H18" s="168"/>
      <c r="I18" s="167"/>
      <c r="J18" s="169">
        <f t="shared" si="1"/>
        <v>1352325</v>
      </c>
      <c r="K18" s="170">
        <v>1095.0</v>
      </c>
    </row>
    <row r="19">
      <c r="A19" s="165" t="s">
        <v>215</v>
      </c>
      <c r="B19" s="165" t="s">
        <v>233</v>
      </c>
      <c r="C19" s="166" t="s">
        <v>217</v>
      </c>
      <c r="D19" s="167"/>
      <c r="E19" s="168"/>
      <c r="F19" s="168"/>
      <c r="G19" s="168"/>
      <c r="H19" s="168"/>
      <c r="I19" s="167"/>
      <c r="J19" s="169">
        <f t="shared" si="1"/>
        <v>1500525</v>
      </c>
      <c r="K19" s="170">
        <v>1215.0</v>
      </c>
    </row>
    <row r="20">
      <c r="A20" s="171"/>
      <c r="B20" s="171"/>
      <c r="C20" s="159"/>
      <c r="D20" s="160"/>
      <c r="E20" s="159"/>
      <c r="F20" s="159"/>
      <c r="G20" s="159"/>
      <c r="H20" s="159"/>
      <c r="I20" s="160"/>
      <c r="J20" s="172"/>
      <c r="K20" s="17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>
      <c r="A21" s="171"/>
      <c r="B21" s="156" t="s">
        <v>209</v>
      </c>
      <c r="C21" s="162" t="s">
        <v>210</v>
      </c>
      <c r="D21" s="163" t="s">
        <v>211</v>
      </c>
      <c r="E21" s="159"/>
      <c r="F21" s="159"/>
      <c r="G21" s="159"/>
      <c r="H21" s="159"/>
      <c r="I21" s="163" t="s">
        <v>212</v>
      </c>
      <c r="J21" s="164" t="s">
        <v>213</v>
      </c>
      <c r="K21" s="164" t="s">
        <v>214</v>
      </c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</row>
    <row r="22">
      <c r="A22" s="165" t="s">
        <v>234</v>
      </c>
      <c r="B22" s="165" t="s">
        <v>235</v>
      </c>
      <c r="C22" s="166" t="s">
        <v>217</v>
      </c>
      <c r="D22" s="167"/>
      <c r="E22" s="168"/>
      <c r="F22" s="168"/>
      <c r="G22" s="168"/>
      <c r="H22" s="168"/>
      <c r="I22" s="167"/>
      <c r="J22" s="169">
        <f t="shared" ref="J22:J31" si="2">K22*$N$42</f>
        <v>185250</v>
      </c>
      <c r="K22" s="170">
        <v>150.0</v>
      </c>
    </row>
    <row r="23">
      <c r="A23" s="165" t="s">
        <v>234</v>
      </c>
      <c r="B23" s="165" t="s">
        <v>236</v>
      </c>
      <c r="C23" s="166" t="s">
        <v>217</v>
      </c>
      <c r="D23" s="167"/>
      <c r="E23" s="168"/>
      <c r="F23" s="168"/>
      <c r="G23" s="168"/>
      <c r="H23" s="168"/>
      <c r="I23" s="167"/>
      <c r="J23" s="169">
        <f t="shared" si="2"/>
        <v>227240</v>
      </c>
      <c r="K23" s="170">
        <v>184.0</v>
      </c>
    </row>
    <row r="24">
      <c r="A24" s="165" t="s">
        <v>234</v>
      </c>
      <c r="B24" s="165" t="s">
        <v>237</v>
      </c>
      <c r="C24" s="166" t="s">
        <v>217</v>
      </c>
      <c r="D24" s="167"/>
      <c r="E24" s="168"/>
      <c r="F24" s="168"/>
      <c r="G24" s="168"/>
      <c r="H24" s="168"/>
      <c r="I24" s="167"/>
      <c r="J24" s="169">
        <f t="shared" si="2"/>
        <v>247000</v>
      </c>
      <c r="K24" s="170">
        <v>200.0</v>
      </c>
    </row>
    <row r="25">
      <c r="A25" s="165" t="s">
        <v>234</v>
      </c>
      <c r="B25" s="165" t="s">
        <v>238</v>
      </c>
      <c r="C25" s="166" t="s">
        <v>217</v>
      </c>
      <c r="D25" s="167"/>
      <c r="E25" s="168"/>
      <c r="F25" s="168"/>
      <c r="G25" s="168"/>
      <c r="H25" s="168"/>
      <c r="I25" s="167"/>
      <c r="J25" s="169">
        <f t="shared" si="2"/>
        <v>253175</v>
      </c>
      <c r="K25" s="170">
        <v>205.0</v>
      </c>
    </row>
    <row r="26">
      <c r="A26" s="165" t="s">
        <v>234</v>
      </c>
      <c r="B26" s="165" t="s">
        <v>239</v>
      </c>
      <c r="C26" s="166" t="s">
        <v>217</v>
      </c>
      <c r="D26" s="167"/>
      <c r="E26" s="168"/>
      <c r="F26" s="168"/>
      <c r="G26" s="168"/>
      <c r="H26" s="168"/>
      <c r="I26" s="167"/>
      <c r="J26" s="169">
        <f t="shared" si="2"/>
        <v>259350</v>
      </c>
      <c r="K26" s="170">
        <v>210.0</v>
      </c>
    </row>
    <row r="27">
      <c r="A27" s="165" t="s">
        <v>234</v>
      </c>
      <c r="B27" s="165" t="s">
        <v>240</v>
      </c>
      <c r="C27" s="166" t="s">
        <v>217</v>
      </c>
      <c r="D27" s="167"/>
      <c r="E27" s="168"/>
      <c r="F27" s="168"/>
      <c r="G27" s="168"/>
      <c r="H27" s="168"/>
      <c r="I27" s="167"/>
      <c r="J27" s="169">
        <f t="shared" si="2"/>
        <v>308750</v>
      </c>
      <c r="K27" s="170">
        <v>250.0</v>
      </c>
    </row>
    <row r="28">
      <c r="A28" s="165" t="s">
        <v>234</v>
      </c>
      <c r="B28" s="165" t="s">
        <v>241</v>
      </c>
      <c r="C28" s="166" t="s">
        <v>217</v>
      </c>
      <c r="D28" s="167"/>
      <c r="E28" s="168"/>
      <c r="F28" s="168"/>
      <c r="G28" s="168"/>
      <c r="H28" s="168"/>
      <c r="I28" s="167"/>
      <c r="J28" s="169">
        <f t="shared" si="2"/>
        <v>248235</v>
      </c>
      <c r="K28" s="170">
        <v>201.0</v>
      </c>
    </row>
    <row r="29">
      <c r="A29" s="165" t="s">
        <v>234</v>
      </c>
      <c r="B29" s="165" t="s">
        <v>242</v>
      </c>
      <c r="C29" s="166" t="s">
        <v>217</v>
      </c>
      <c r="D29" s="167"/>
      <c r="E29" s="168"/>
      <c r="F29" s="168"/>
      <c r="G29" s="168"/>
      <c r="H29" s="168"/>
      <c r="I29" s="167"/>
      <c r="J29" s="169">
        <f t="shared" si="2"/>
        <v>351975</v>
      </c>
      <c r="K29" s="170">
        <v>285.0</v>
      </c>
    </row>
    <row r="30">
      <c r="A30" s="165" t="s">
        <v>234</v>
      </c>
      <c r="B30" s="165" t="s">
        <v>243</v>
      </c>
      <c r="C30" s="166" t="s">
        <v>217</v>
      </c>
      <c r="D30" s="167"/>
      <c r="E30" s="168"/>
      <c r="F30" s="168"/>
      <c r="G30" s="168"/>
      <c r="H30" s="168"/>
      <c r="I30" s="167"/>
      <c r="J30" s="169">
        <f t="shared" si="2"/>
        <v>401375</v>
      </c>
      <c r="K30" s="170">
        <v>325.0</v>
      </c>
    </row>
    <row r="31">
      <c r="A31" s="165" t="s">
        <v>234</v>
      </c>
      <c r="B31" s="165" t="s">
        <v>244</v>
      </c>
      <c r="C31" s="166" t="s">
        <v>217</v>
      </c>
      <c r="D31" s="167"/>
      <c r="E31" s="168"/>
      <c r="F31" s="168"/>
      <c r="G31" s="168"/>
      <c r="H31" s="168"/>
      <c r="I31" s="167"/>
      <c r="J31" s="169">
        <f t="shared" si="2"/>
        <v>1130025</v>
      </c>
      <c r="K31" s="170">
        <v>915.0</v>
      </c>
    </row>
    <row r="32">
      <c r="A32" s="173" t="s">
        <v>234</v>
      </c>
      <c r="B32" s="174" t="s">
        <v>209</v>
      </c>
      <c r="C32" s="175" t="s">
        <v>245</v>
      </c>
      <c r="D32" s="176" t="s">
        <v>246</v>
      </c>
      <c r="E32" s="177"/>
      <c r="F32" s="177"/>
      <c r="G32" s="177"/>
      <c r="H32" s="177"/>
      <c r="I32" s="178"/>
      <c r="J32" s="177"/>
      <c r="K32" s="177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</row>
    <row r="33">
      <c r="A33" s="180"/>
      <c r="B33" s="181" t="s">
        <v>247</v>
      </c>
      <c r="C33" s="182" t="s">
        <v>210</v>
      </c>
      <c r="D33" s="183" t="s">
        <v>248</v>
      </c>
      <c r="E33" s="177"/>
      <c r="F33" s="177"/>
      <c r="G33" s="177"/>
      <c r="H33" s="177"/>
      <c r="I33" s="179"/>
      <c r="J33" s="184" t="s">
        <v>213</v>
      </c>
      <c r="K33" s="184" t="s">
        <v>214</v>
      </c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>
      <c r="A34" s="185" t="s">
        <v>215</v>
      </c>
      <c r="B34" s="185" t="s">
        <v>249</v>
      </c>
      <c r="C34" s="185" t="s">
        <v>217</v>
      </c>
      <c r="D34" s="186">
        <v>198000.0</v>
      </c>
      <c r="E34" s="187"/>
      <c r="F34" s="187"/>
      <c r="G34" s="187"/>
      <c r="H34" s="187"/>
      <c r="I34" s="188"/>
      <c r="J34" s="189">
        <f t="shared" ref="J34:J65" si="3">K34*$N$42</f>
        <v>234650</v>
      </c>
      <c r="K34" s="185">
        <v>190.0</v>
      </c>
    </row>
    <row r="35">
      <c r="A35" s="166" t="s">
        <v>215</v>
      </c>
      <c r="B35" s="166" t="s">
        <v>250</v>
      </c>
      <c r="C35" s="166" t="s">
        <v>217</v>
      </c>
      <c r="D35" s="190">
        <v>280000.0</v>
      </c>
      <c r="E35" s="168"/>
      <c r="F35" s="168"/>
      <c r="G35" s="168"/>
      <c r="H35" s="190"/>
      <c r="J35" s="167">
        <f t="shared" si="3"/>
        <v>247000</v>
      </c>
      <c r="K35" s="166">
        <v>200.0</v>
      </c>
      <c r="P35" s="191"/>
      <c r="Q35" s="192" t="s">
        <v>251</v>
      </c>
      <c r="R35" s="192" t="s">
        <v>252</v>
      </c>
      <c r="S35" s="192" t="s">
        <v>253</v>
      </c>
      <c r="T35" s="192" t="s">
        <v>254</v>
      </c>
    </row>
    <row r="36">
      <c r="A36" s="166" t="s">
        <v>215</v>
      </c>
      <c r="B36" s="166" t="s">
        <v>255</v>
      </c>
      <c r="C36" s="166" t="s">
        <v>217</v>
      </c>
      <c r="D36" s="190">
        <v>250000.0</v>
      </c>
      <c r="E36" s="168"/>
      <c r="F36" s="168"/>
      <c r="G36" s="168"/>
      <c r="H36" s="166"/>
      <c r="J36" s="167">
        <f t="shared" si="3"/>
        <v>247000</v>
      </c>
      <c r="K36" s="166">
        <v>200.0</v>
      </c>
      <c r="P36" s="192" t="s">
        <v>256</v>
      </c>
      <c r="Q36" s="193">
        <v>0.04</v>
      </c>
      <c r="R36" s="193">
        <v>0.05</v>
      </c>
      <c r="S36" s="193">
        <v>0.06</v>
      </c>
      <c r="T36" s="193">
        <v>0.08</v>
      </c>
    </row>
    <row r="37">
      <c r="A37" s="166" t="s">
        <v>215</v>
      </c>
      <c r="B37" s="166" t="s">
        <v>257</v>
      </c>
      <c r="C37" s="166" t="s">
        <v>217</v>
      </c>
      <c r="D37" s="190">
        <v>300000.0</v>
      </c>
      <c r="E37" s="168"/>
      <c r="F37" s="168"/>
      <c r="G37" s="168"/>
      <c r="H37" s="168"/>
      <c r="J37" s="167">
        <f t="shared" si="3"/>
        <v>259350</v>
      </c>
      <c r="K37" s="166">
        <v>210.0</v>
      </c>
    </row>
    <row r="38">
      <c r="A38" s="166" t="s">
        <v>215</v>
      </c>
      <c r="B38" s="166" t="s">
        <v>258</v>
      </c>
      <c r="C38" s="166" t="s">
        <v>217</v>
      </c>
      <c r="D38" s="190">
        <v>320000.0</v>
      </c>
      <c r="E38" s="168"/>
      <c r="F38" s="168"/>
      <c r="G38" s="168"/>
      <c r="H38" s="168"/>
      <c r="J38" s="167">
        <f t="shared" si="3"/>
        <v>259350</v>
      </c>
      <c r="K38" s="166">
        <v>210.0</v>
      </c>
    </row>
    <row r="39">
      <c r="A39" s="166" t="s">
        <v>215</v>
      </c>
      <c r="B39" s="166" t="s">
        <v>259</v>
      </c>
      <c r="C39" s="166" t="s">
        <v>217</v>
      </c>
      <c r="D39" s="190">
        <v>360000.0</v>
      </c>
      <c r="E39" s="168"/>
      <c r="F39" s="168"/>
      <c r="G39" s="168"/>
      <c r="H39" s="168"/>
      <c r="J39" s="167">
        <f t="shared" si="3"/>
        <v>290225</v>
      </c>
      <c r="K39" s="166">
        <v>235.0</v>
      </c>
    </row>
    <row r="40">
      <c r="A40" s="166" t="s">
        <v>215</v>
      </c>
      <c r="B40" s="166" t="s">
        <v>260</v>
      </c>
      <c r="C40" s="166" t="s">
        <v>217</v>
      </c>
      <c r="D40" s="190">
        <v>380000.0</v>
      </c>
      <c r="E40" s="168"/>
      <c r="F40" s="168"/>
      <c r="G40" s="168"/>
      <c r="H40" s="168"/>
      <c r="J40" s="167">
        <f t="shared" si="3"/>
        <v>308750</v>
      </c>
      <c r="K40" s="166">
        <v>250.0</v>
      </c>
    </row>
    <row r="41">
      <c r="A41" s="166" t="s">
        <v>215</v>
      </c>
      <c r="B41" s="166" t="s">
        <v>261</v>
      </c>
      <c r="C41" s="166" t="s">
        <v>217</v>
      </c>
      <c r="D41" s="190">
        <v>400000.0</v>
      </c>
      <c r="E41" s="168"/>
      <c r="F41" s="168"/>
      <c r="G41" s="168"/>
      <c r="H41" s="168"/>
      <c r="J41" s="167">
        <f t="shared" si="3"/>
        <v>327275</v>
      </c>
      <c r="K41" s="166">
        <v>265.0</v>
      </c>
      <c r="N41" s="194" t="s">
        <v>184</v>
      </c>
    </row>
    <row r="42">
      <c r="A42" s="166" t="s">
        <v>215</v>
      </c>
      <c r="B42" s="166" t="s">
        <v>262</v>
      </c>
      <c r="C42" s="166" t="s">
        <v>217</v>
      </c>
      <c r="D42" s="190">
        <v>540000.0</v>
      </c>
      <c r="E42" s="168"/>
      <c r="F42" s="168"/>
      <c r="G42" s="168"/>
      <c r="H42" s="168"/>
      <c r="J42" s="167">
        <f t="shared" si="3"/>
        <v>333450</v>
      </c>
      <c r="K42" s="166">
        <v>270.0</v>
      </c>
      <c r="N42" s="194">
        <v>1235.0</v>
      </c>
    </row>
    <row r="43">
      <c r="A43" s="166" t="s">
        <v>215</v>
      </c>
      <c r="B43" s="166" t="s">
        <v>263</v>
      </c>
      <c r="C43" s="166" t="s">
        <v>217</v>
      </c>
      <c r="D43" s="190">
        <v>560000.0</v>
      </c>
      <c r="E43" s="168"/>
      <c r="F43" s="168"/>
      <c r="G43" s="168"/>
      <c r="H43" s="166"/>
      <c r="J43" s="167">
        <f t="shared" si="3"/>
        <v>407550</v>
      </c>
      <c r="K43" s="166">
        <v>330.0</v>
      </c>
    </row>
    <row r="44">
      <c r="A44" s="166" t="s">
        <v>215</v>
      </c>
      <c r="B44" s="166" t="s">
        <v>264</v>
      </c>
      <c r="C44" s="166" t="s">
        <v>217</v>
      </c>
      <c r="D44" s="190">
        <v>800000.0</v>
      </c>
      <c r="E44" s="168"/>
      <c r="F44" s="168"/>
      <c r="G44" s="168"/>
      <c r="H44" s="168"/>
      <c r="J44" s="167">
        <f t="shared" si="3"/>
        <v>450775</v>
      </c>
      <c r="K44" s="166">
        <v>365.0</v>
      </c>
    </row>
    <row r="45">
      <c r="A45" s="166" t="s">
        <v>215</v>
      </c>
      <c r="B45" s="166" t="s">
        <v>265</v>
      </c>
      <c r="C45" s="166" t="s">
        <v>217</v>
      </c>
      <c r="D45" s="190">
        <v>670000.0</v>
      </c>
      <c r="E45" s="168"/>
      <c r="F45" s="168"/>
      <c r="G45" s="168"/>
      <c r="H45" s="168"/>
      <c r="J45" s="167">
        <f t="shared" si="3"/>
        <v>506350</v>
      </c>
      <c r="K45" s="166">
        <v>410.0</v>
      </c>
    </row>
    <row r="46">
      <c r="A46" s="166" t="s">
        <v>215</v>
      </c>
      <c r="B46" s="166" t="s">
        <v>266</v>
      </c>
      <c r="C46" s="166" t="s">
        <v>217</v>
      </c>
      <c r="D46" s="190">
        <v>720000.0</v>
      </c>
      <c r="E46" s="168"/>
      <c r="F46" s="168"/>
      <c r="G46" s="168"/>
      <c r="H46" s="168"/>
      <c r="J46" s="167">
        <f t="shared" si="3"/>
        <v>561925</v>
      </c>
      <c r="K46" s="166">
        <v>455.0</v>
      </c>
    </row>
    <row r="47">
      <c r="A47" s="195" t="s">
        <v>215</v>
      </c>
      <c r="B47" s="195" t="s">
        <v>267</v>
      </c>
      <c r="C47" s="195" t="s">
        <v>217</v>
      </c>
      <c r="D47" s="196">
        <v>700000.0</v>
      </c>
      <c r="E47" s="197"/>
      <c r="F47" s="197"/>
      <c r="G47" s="197"/>
      <c r="H47" s="195"/>
      <c r="I47" s="124"/>
      <c r="J47" s="198">
        <f t="shared" si="3"/>
        <v>543400</v>
      </c>
      <c r="K47" s="195">
        <v>440.0</v>
      </c>
    </row>
    <row r="48">
      <c r="A48" s="185" t="s">
        <v>215</v>
      </c>
      <c r="B48" s="185" t="s">
        <v>268</v>
      </c>
      <c r="C48" s="185" t="s">
        <v>217</v>
      </c>
      <c r="D48" s="189"/>
      <c r="E48" s="187"/>
      <c r="F48" s="187"/>
      <c r="G48" s="187"/>
      <c r="H48" s="187"/>
      <c r="I48" s="188"/>
      <c r="J48" s="189">
        <f t="shared" si="3"/>
        <v>1160900</v>
      </c>
      <c r="K48" s="185">
        <v>940.0</v>
      </c>
    </row>
    <row r="49">
      <c r="A49" s="185" t="s">
        <v>215</v>
      </c>
      <c r="B49" s="185" t="s">
        <v>269</v>
      </c>
      <c r="C49" s="185" t="s">
        <v>217</v>
      </c>
      <c r="D49" s="189"/>
      <c r="E49" s="187"/>
      <c r="F49" s="187"/>
      <c r="G49" s="187"/>
      <c r="H49" s="187"/>
      <c r="I49" s="188"/>
      <c r="J49" s="189">
        <f t="shared" si="3"/>
        <v>950950</v>
      </c>
      <c r="K49" s="185">
        <v>770.0</v>
      </c>
    </row>
    <row r="50">
      <c r="A50" s="185" t="s">
        <v>215</v>
      </c>
      <c r="B50" s="185" t="s">
        <v>270</v>
      </c>
      <c r="C50" s="185" t="s">
        <v>217</v>
      </c>
      <c r="D50" s="189"/>
      <c r="E50" s="187"/>
      <c r="F50" s="187"/>
      <c r="G50" s="187"/>
      <c r="H50" s="187"/>
      <c r="I50" s="188"/>
      <c r="J50" s="189">
        <f t="shared" si="3"/>
        <v>1321450</v>
      </c>
      <c r="K50" s="185">
        <v>1070.0</v>
      </c>
    </row>
    <row r="51">
      <c r="A51" s="185" t="s">
        <v>215</v>
      </c>
      <c r="B51" s="185" t="s">
        <v>271</v>
      </c>
      <c r="C51" s="185" t="s">
        <v>217</v>
      </c>
      <c r="D51" s="189"/>
      <c r="E51" s="187"/>
      <c r="F51" s="187"/>
      <c r="G51" s="187"/>
      <c r="H51" s="187"/>
      <c r="I51" s="188"/>
      <c r="J51" s="189">
        <f t="shared" si="3"/>
        <v>1537575</v>
      </c>
      <c r="K51" s="185">
        <v>1245.0</v>
      </c>
    </row>
    <row r="52">
      <c r="A52" s="166" t="s">
        <v>272</v>
      </c>
      <c r="B52" s="166" t="s">
        <v>273</v>
      </c>
      <c r="C52" s="166" t="s">
        <v>217</v>
      </c>
      <c r="D52" s="190">
        <v>185000.0</v>
      </c>
      <c r="E52" s="168"/>
      <c r="F52" s="168"/>
      <c r="G52" s="168"/>
      <c r="H52" s="168"/>
      <c r="J52" s="167">
        <f t="shared" si="3"/>
        <v>179075</v>
      </c>
      <c r="K52" s="166">
        <v>145.0</v>
      </c>
    </row>
    <row r="53">
      <c r="A53" s="166" t="s">
        <v>272</v>
      </c>
      <c r="B53" s="166" t="s">
        <v>274</v>
      </c>
      <c r="C53" s="166" t="s">
        <v>217</v>
      </c>
      <c r="D53" s="190">
        <v>280000.0</v>
      </c>
      <c r="E53" s="168"/>
      <c r="F53" s="168"/>
      <c r="G53" s="168"/>
      <c r="H53" s="168"/>
      <c r="I53" s="167"/>
      <c r="J53" s="167">
        <f t="shared" si="3"/>
        <v>240825</v>
      </c>
      <c r="K53" s="166">
        <v>195.0</v>
      </c>
    </row>
    <row r="54">
      <c r="A54" s="166" t="s">
        <v>272</v>
      </c>
      <c r="B54" s="166" t="s">
        <v>275</v>
      </c>
      <c r="C54" s="166" t="s">
        <v>217</v>
      </c>
      <c r="D54" s="190">
        <v>240000.0</v>
      </c>
      <c r="E54" s="168"/>
      <c r="F54" s="168"/>
      <c r="G54" s="168"/>
      <c r="H54" s="168"/>
      <c r="I54" s="167"/>
      <c r="J54" s="167">
        <f t="shared" si="3"/>
        <v>185250</v>
      </c>
      <c r="K54" s="166">
        <v>150.0</v>
      </c>
    </row>
    <row r="55">
      <c r="A55" s="166" t="s">
        <v>272</v>
      </c>
      <c r="B55" s="166" t="s">
        <v>276</v>
      </c>
      <c r="C55" s="166" t="s">
        <v>217</v>
      </c>
      <c r="D55" s="190">
        <v>320000.0</v>
      </c>
      <c r="E55" s="168"/>
      <c r="F55" s="168"/>
      <c r="G55" s="168"/>
      <c r="H55" s="168"/>
      <c r="I55" s="167"/>
      <c r="J55" s="167">
        <f t="shared" si="3"/>
        <v>240825</v>
      </c>
      <c r="K55" s="166">
        <v>195.0</v>
      </c>
    </row>
    <row r="56">
      <c r="A56" s="166" t="s">
        <v>272</v>
      </c>
      <c r="B56" s="166" t="s">
        <v>277</v>
      </c>
      <c r="C56" s="166" t="s">
        <v>217</v>
      </c>
      <c r="D56" s="190">
        <v>260000.0</v>
      </c>
      <c r="E56" s="168"/>
      <c r="F56" s="168"/>
      <c r="G56" s="168"/>
      <c r="H56" s="168"/>
      <c r="I56" s="167"/>
      <c r="J56" s="167">
        <f t="shared" si="3"/>
        <v>240825</v>
      </c>
      <c r="K56" s="166">
        <v>195.0</v>
      </c>
    </row>
    <row r="57">
      <c r="A57" s="166" t="s">
        <v>272</v>
      </c>
      <c r="B57" s="166" t="s">
        <v>278</v>
      </c>
      <c r="C57" s="166" t="s">
        <v>217</v>
      </c>
      <c r="D57" s="190">
        <v>260000.0</v>
      </c>
      <c r="E57" s="168"/>
      <c r="F57" s="168"/>
      <c r="G57" s="168"/>
      <c r="H57" s="168"/>
      <c r="I57" s="167"/>
      <c r="J57" s="167">
        <f t="shared" si="3"/>
        <v>247000</v>
      </c>
      <c r="K57" s="166">
        <v>200.0</v>
      </c>
    </row>
    <row r="58">
      <c r="A58" s="185" t="s">
        <v>272</v>
      </c>
      <c r="B58" s="185" t="s">
        <v>279</v>
      </c>
      <c r="C58" s="185" t="s">
        <v>217</v>
      </c>
      <c r="D58" s="189"/>
      <c r="E58" s="187"/>
      <c r="F58" s="187"/>
      <c r="G58" s="187"/>
      <c r="H58" s="187"/>
      <c r="I58" s="189"/>
      <c r="J58" s="189">
        <f t="shared" si="3"/>
        <v>345800</v>
      </c>
      <c r="K58" s="185">
        <v>280.0</v>
      </c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</row>
    <row r="59">
      <c r="A59" s="166" t="s">
        <v>272</v>
      </c>
      <c r="B59" s="166" t="s">
        <v>280</v>
      </c>
      <c r="C59" s="166" t="s">
        <v>217</v>
      </c>
      <c r="D59" s="190">
        <v>400000.0</v>
      </c>
      <c r="E59" s="168"/>
      <c r="F59" s="168"/>
      <c r="G59" s="168"/>
      <c r="H59" s="168"/>
      <c r="I59" s="167"/>
      <c r="J59" s="167">
        <f t="shared" si="3"/>
        <v>333450</v>
      </c>
      <c r="K59" s="166">
        <v>270.0</v>
      </c>
    </row>
    <row r="60">
      <c r="A60" s="166" t="s">
        <v>272</v>
      </c>
      <c r="B60" s="166" t="s">
        <v>281</v>
      </c>
      <c r="C60" s="166" t="s">
        <v>217</v>
      </c>
      <c r="D60" s="190">
        <v>290000.0</v>
      </c>
      <c r="E60" s="168"/>
      <c r="F60" s="168"/>
      <c r="G60" s="168"/>
      <c r="H60" s="168"/>
      <c r="I60" s="167"/>
      <c r="J60" s="167">
        <f t="shared" si="3"/>
        <v>284050</v>
      </c>
      <c r="K60" s="166">
        <v>230.0</v>
      </c>
    </row>
    <row r="61">
      <c r="A61" s="166" t="s">
        <v>272</v>
      </c>
      <c r="B61" s="166" t="s">
        <v>282</v>
      </c>
      <c r="C61" s="166" t="s">
        <v>217</v>
      </c>
      <c r="D61" s="190">
        <v>370000.0</v>
      </c>
      <c r="E61" s="168"/>
      <c r="F61" s="168"/>
      <c r="G61" s="168"/>
      <c r="H61" s="168"/>
      <c r="I61" s="167"/>
      <c r="J61" s="167">
        <f t="shared" si="3"/>
        <v>358150</v>
      </c>
      <c r="K61" s="166">
        <v>290.0</v>
      </c>
    </row>
    <row r="62">
      <c r="A62" s="166" t="s">
        <v>272</v>
      </c>
      <c r="B62" s="166" t="s">
        <v>283</v>
      </c>
      <c r="C62" s="166" t="s">
        <v>217</v>
      </c>
      <c r="D62" s="190">
        <v>480000.0</v>
      </c>
      <c r="E62" s="168"/>
      <c r="F62" s="168"/>
      <c r="G62" s="168"/>
      <c r="H62" s="168"/>
      <c r="I62" s="167"/>
      <c r="J62" s="167">
        <f t="shared" si="3"/>
        <v>376675</v>
      </c>
      <c r="K62" s="166">
        <v>305.0</v>
      </c>
    </row>
    <row r="63">
      <c r="A63" s="166" t="s">
        <v>272</v>
      </c>
      <c r="B63" s="166" t="s">
        <v>284</v>
      </c>
      <c r="C63" s="166" t="s">
        <v>217</v>
      </c>
      <c r="D63" s="190">
        <v>600000.0</v>
      </c>
      <c r="E63" s="168"/>
      <c r="F63" s="168"/>
      <c r="G63" s="168"/>
      <c r="H63" s="168"/>
      <c r="I63" s="167"/>
      <c r="J63" s="167">
        <f t="shared" si="3"/>
        <v>407550</v>
      </c>
      <c r="K63" s="166">
        <v>330.0</v>
      </c>
    </row>
    <row r="64">
      <c r="A64" s="166" t="s">
        <v>272</v>
      </c>
      <c r="B64" s="166" t="s">
        <v>285</v>
      </c>
      <c r="C64" s="166" t="s">
        <v>217</v>
      </c>
      <c r="D64" s="190">
        <v>610000.0</v>
      </c>
      <c r="E64" s="168"/>
      <c r="F64" s="168"/>
      <c r="G64" s="168"/>
      <c r="H64" s="168"/>
      <c r="I64" s="167"/>
      <c r="J64" s="167">
        <f t="shared" si="3"/>
        <v>438425</v>
      </c>
      <c r="K64" s="166">
        <v>355.0</v>
      </c>
    </row>
    <row r="65">
      <c r="A65" s="166" t="s">
        <v>272</v>
      </c>
      <c r="B65" s="166" t="s">
        <v>286</v>
      </c>
      <c r="C65" s="166" t="s">
        <v>217</v>
      </c>
      <c r="D65" s="190">
        <v>700000.0</v>
      </c>
      <c r="E65" s="168"/>
      <c r="F65" s="168"/>
      <c r="G65" s="168"/>
      <c r="H65" s="168"/>
      <c r="I65" s="167"/>
      <c r="J65" s="167">
        <f t="shared" si="3"/>
        <v>475475</v>
      </c>
      <c r="K65" s="166">
        <v>385.0</v>
      </c>
    </row>
    <row r="66">
      <c r="D66" s="4"/>
      <c r="I66" s="4"/>
    </row>
    <row r="67">
      <c r="D67" s="4"/>
      <c r="I67" s="4"/>
    </row>
    <row r="68">
      <c r="D68" s="4"/>
      <c r="I68" s="4"/>
    </row>
    <row r="69">
      <c r="D69" s="4"/>
      <c r="I69" s="4"/>
    </row>
    <row r="70">
      <c r="D70" s="4"/>
      <c r="I70" s="4"/>
    </row>
    <row r="71">
      <c r="D71" s="4"/>
      <c r="I71" s="4"/>
      <c r="O71" s="199" t="s">
        <v>209</v>
      </c>
      <c r="P71" s="199" t="s">
        <v>287</v>
      </c>
      <c r="Q71" s="199" t="s">
        <v>288</v>
      </c>
      <c r="R71" s="199"/>
    </row>
    <row r="72">
      <c r="D72" s="4"/>
      <c r="I72" s="4"/>
      <c r="O72" s="199" t="s">
        <v>209</v>
      </c>
      <c r="P72" s="199" t="s">
        <v>289</v>
      </c>
      <c r="Q72" s="199" t="s">
        <v>288</v>
      </c>
      <c r="R72" s="199"/>
    </row>
    <row r="73">
      <c r="D73" s="4"/>
      <c r="I73" s="4"/>
      <c r="O73" s="199" t="s">
        <v>209</v>
      </c>
      <c r="P73" s="199" t="s">
        <v>290</v>
      </c>
      <c r="Q73" s="199" t="s">
        <v>288</v>
      </c>
      <c r="R73" s="199"/>
    </row>
    <row r="74">
      <c r="D74" s="4"/>
      <c r="I74" s="4"/>
      <c r="O74" s="199" t="s">
        <v>209</v>
      </c>
      <c r="P74" s="199" t="s">
        <v>291</v>
      </c>
      <c r="Q74" s="199" t="s">
        <v>288</v>
      </c>
      <c r="R74" s="199"/>
    </row>
    <row r="75">
      <c r="D75" s="4"/>
      <c r="I75" s="4"/>
      <c r="O75" s="199" t="s">
        <v>209</v>
      </c>
      <c r="P75" s="199" t="s">
        <v>292</v>
      </c>
      <c r="Q75" s="199" t="s">
        <v>288</v>
      </c>
      <c r="R75" s="199"/>
    </row>
    <row r="76">
      <c r="D76" s="4"/>
      <c r="I76" s="4"/>
      <c r="O76" s="199" t="s">
        <v>209</v>
      </c>
      <c r="P76" s="199" t="s">
        <v>293</v>
      </c>
      <c r="Q76" s="199" t="s">
        <v>288</v>
      </c>
      <c r="R76" s="199"/>
    </row>
    <row r="77">
      <c r="D77" s="4"/>
      <c r="I77" s="4"/>
      <c r="O77" s="199" t="s">
        <v>209</v>
      </c>
      <c r="P77" s="199" t="s">
        <v>294</v>
      </c>
      <c r="Q77" s="199" t="s">
        <v>288</v>
      </c>
      <c r="R77" s="199"/>
    </row>
    <row r="78">
      <c r="D78" s="4"/>
      <c r="I78" s="4"/>
      <c r="O78" s="199" t="s">
        <v>209</v>
      </c>
      <c r="P78" s="199" t="s">
        <v>295</v>
      </c>
      <c r="Q78" s="199" t="s">
        <v>288</v>
      </c>
      <c r="R78" s="199"/>
    </row>
    <row r="79">
      <c r="D79" s="4"/>
      <c r="I79" s="4"/>
      <c r="O79" s="199" t="s">
        <v>209</v>
      </c>
      <c r="P79" s="199" t="s">
        <v>296</v>
      </c>
      <c r="Q79" s="199" t="s">
        <v>288</v>
      </c>
      <c r="R79" s="199"/>
    </row>
    <row r="80">
      <c r="D80" s="4"/>
      <c r="I80" s="4"/>
      <c r="O80" s="199" t="s">
        <v>209</v>
      </c>
      <c r="P80" s="199" t="s">
        <v>297</v>
      </c>
      <c r="Q80" s="199" t="s">
        <v>288</v>
      </c>
      <c r="R80" s="199"/>
    </row>
    <row r="81">
      <c r="D81" s="4"/>
      <c r="I81" s="4"/>
      <c r="O81" s="199" t="s">
        <v>209</v>
      </c>
      <c r="P81" s="199" t="s">
        <v>298</v>
      </c>
      <c r="Q81" s="199" t="s">
        <v>288</v>
      </c>
      <c r="R81" s="199"/>
    </row>
    <row r="82">
      <c r="D82" s="4"/>
      <c r="I82" s="4"/>
      <c r="O82" s="199" t="s">
        <v>209</v>
      </c>
      <c r="P82" s="199" t="s">
        <v>299</v>
      </c>
      <c r="Q82" s="199" t="s">
        <v>288</v>
      </c>
      <c r="R82" s="199"/>
    </row>
    <row r="83">
      <c r="D83" s="4"/>
      <c r="I83" s="4"/>
      <c r="O83" s="199" t="s">
        <v>209</v>
      </c>
      <c r="P83" s="199" t="s">
        <v>300</v>
      </c>
      <c r="Q83" s="199" t="s">
        <v>288</v>
      </c>
      <c r="R83" s="199"/>
    </row>
    <row r="84">
      <c r="D84" s="4"/>
      <c r="I84" s="4"/>
      <c r="O84" s="199" t="s">
        <v>209</v>
      </c>
      <c r="P84" s="199" t="s">
        <v>301</v>
      </c>
      <c r="Q84" s="199" t="s">
        <v>288</v>
      </c>
      <c r="R84" s="199"/>
    </row>
    <row r="85">
      <c r="D85" s="4"/>
      <c r="I85" s="4"/>
      <c r="O85" s="199" t="s">
        <v>209</v>
      </c>
      <c r="P85" s="199" t="s">
        <v>302</v>
      </c>
      <c r="Q85" s="199" t="s">
        <v>288</v>
      </c>
      <c r="R85" s="199"/>
    </row>
    <row r="86">
      <c r="D86" s="4"/>
      <c r="I86" s="4"/>
      <c r="O86" s="199" t="s">
        <v>209</v>
      </c>
      <c r="P86" s="199" t="s">
        <v>303</v>
      </c>
      <c r="Q86" s="199" t="s">
        <v>288</v>
      </c>
      <c r="R86" s="199"/>
    </row>
    <row r="87">
      <c r="D87" s="4"/>
      <c r="I87" s="4"/>
      <c r="O87" s="199" t="s">
        <v>209</v>
      </c>
      <c r="P87" s="199" t="s">
        <v>304</v>
      </c>
      <c r="Q87" s="199" t="s">
        <v>288</v>
      </c>
      <c r="R87" s="199"/>
    </row>
    <row r="88">
      <c r="D88" s="4"/>
      <c r="I88" s="4"/>
      <c r="O88" s="199" t="s">
        <v>209</v>
      </c>
      <c r="P88" s="199" t="s">
        <v>305</v>
      </c>
      <c r="Q88" s="199" t="s">
        <v>288</v>
      </c>
      <c r="R88" s="199"/>
    </row>
    <row r="89">
      <c r="D89" s="4"/>
      <c r="I89" s="4"/>
      <c r="O89" s="199" t="s">
        <v>209</v>
      </c>
      <c r="P89" s="199" t="s">
        <v>306</v>
      </c>
      <c r="Q89" s="199" t="s">
        <v>288</v>
      </c>
      <c r="R89" s="199"/>
    </row>
    <row r="90">
      <c r="D90" s="4"/>
      <c r="I90" s="4"/>
      <c r="O90" s="199" t="s">
        <v>209</v>
      </c>
      <c r="P90" s="199" t="s">
        <v>307</v>
      </c>
      <c r="Q90" s="199" t="s">
        <v>288</v>
      </c>
      <c r="R90" s="199"/>
    </row>
    <row r="91">
      <c r="D91" s="4"/>
      <c r="I91" s="4"/>
      <c r="O91" s="199" t="s">
        <v>209</v>
      </c>
      <c r="P91" s="199" t="s">
        <v>308</v>
      </c>
      <c r="Q91" s="199" t="s">
        <v>288</v>
      </c>
      <c r="R91" s="199"/>
    </row>
    <row r="92">
      <c r="D92" s="4"/>
      <c r="I92" s="4"/>
      <c r="O92" s="199" t="s">
        <v>209</v>
      </c>
      <c r="P92" s="199" t="s">
        <v>309</v>
      </c>
      <c r="Q92" s="199" t="s">
        <v>288</v>
      </c>
      <c r="R92" s="199"/>
    </row>
    <row r="93">
      <c r="D93" s="4"/>
      <c r="I93" s="4"/>
      <c r="O93" s="199" t="s">
        <v>209</v>
      </c>
      <c r="P93" s="199" t="s">
        <v>310</v>
      </c>
      <c r="Q93" s="199" t="s">
        <v>288</v>
      </c>
      <c r="R93" s="199"/>
    </row>
    <row r="94">
      <c r="D94" s="4"/>
      <c r="I94" s="4"/>
      <c r="O94" s="199" t="s">
        <v>209</v>
      </c>
      <c r="P94" s="199" t="s">
        <v>311</v>
      </c>
      <c r="Q94" s="199" t="s">
        <v>288</v>
      </c>
      <c r="R94" s="199"/>
    </row>
    <row r="95">
      <c r="D95" s="4"/>
      <c r="I95" s="4"/>
      <c r="O95" s="199" t="s">
        <v>209</v>
      </c>
      <c r="P95" s="199" t="s">
        <v>312</v>
      </c>
      <c r="Q95" s="199" t="s">
        <v>288</v>
      </c>
      <c r="R95" s="199"/>
    </row>
    <row r="96">
      <c r="D96" s="4"/>
      <c r="I96" s="4"/>
      <c r="O96" s="200"/>
      <c r="P96" s="200"/>
      <c r="Q96" s="200"/>
      <c r="R96" s="200"/>
    </row>
    <row r="97">
      <c r="D97" s="4"/>
      <c r="I97" s="4"/>
      <c r="O97" s="200"/>
      <c r="P97" s="200"/>
      <c r="Q97" s="200"/>
      <c r="R97" s="200"/>
    </row>
    <row r="98">
      <c r="D98" s="4"/>
      <c r="I98" s="4"/>
    </row>
    <row r="99">
      <c r="D99" s="4"/>
      <c r="I99" s="4"/>
    </row>
    <row r="100">
      <c r="D100" s="4"/>
      <c r="I100" s="4"/>
    </row>
    <row r="101">
      <c r="D101" s="4"/>
      <c r="I101" s="4"/>
    </row>
    <row r="102">
      <c r="D102" s="4"/>
      <c r="I102" s="4"/>
    </row>
    <row r="103">
      <c r="D103" s="4"/>
      <c r="I103" s="4"/>
    </row>
    <row r="104">
      <c r="D104" s="4"/>
      <c r="I104" s="4"/>
    </row>
    <row r="105">
      <c r="D105" s="4"/>
      <c r="I105" s="4"/>
    </row>
    <row r="106">
      <c r="D106" s="4"/>
      <c r="I106" s="4"/>
    </row>
    <row r="107">
      <c r="D107" s="4"/>
      <c r="I107" s="4"/>
    </row>
    <row r="108">
      <c r="D108" s="4"/>
      <c r="I108" s="4"/>
    </row>
    <row r="109">
      <c r="D109" s="4"/>
      <c r="I109" s="4"/>
    </row>
    <row r="110">
      <c r="D110" s="4"/>
      <c r="I110" s="4"/>
    </row>
    <row r="111">
      <c r="D111" s="4"/>
      <c r="I111" s="4"/>
    </row>
    <row r="112">
      <c r="D112" s="4"/>
      <c r="I112" s="4"/>
    </row>
    <row r="113">
      <c r="D113" s="4"/>
      <c r="I113" s="4"/>
    </row>
    <row r="114">
      <c r="D114" s="4"/>
      <c r="I114" s="4"/>
    </row>
    <row r="115">
      <c r="D115" s="4"/>
      <c r="I115" s="4"/>
    </row>
    <row r="116">
      <c r="D116" s="4"/>
      <c r="I116" s="4"/>
    </row>
    <row r="117">
      <c r="D117" s="4"/>
      <c r="I117" s="4"/>
    </row>
    <row r="118">
      <c r="D118" s="4"/>
      <c r="I118" s="4"/>
    </row>
    <row r="119">
      <c r="D119" s="4"/>
      <c r="I119" s="4"/>
    </row>
    <row r="120">
      <c r="D120" s="4"/>
      <c r="I120" s="4"/>
    </row>
    <row r="121">
      <c r="D121" s="4"/>
      <c r="I121" s="4"/>
    </row>
    <row r="122">
      <c r="D122" s="4"/>
      <c r="I122" s="4"/>
    </row>
    <row r="123">
      <c r="D123" s="4"/>
      <c r="I123" s="4"/>
    </row>
    <row r="124">
      <c r="D124" s="4"/>
      <c r="I124" s="4"/>
    </row>
    <row r="125">
      <c r="D125" s="4"/>
      <c r="I125" s="4"/>
    </row>
    <row r="126">
      <c r="D126" s="4"/>
      <c r="I126" s="4"/>
    </row>
    <row r="127">
      <c r="D127" s="4"/>
      <c r="I127" s="4"/>
    </row>
    <row r="128">
      <c r="D128" s="4"/>
      <c r="I128" s="4"/>
    </row>
    <row r="129">
      <c r="D129" s="4"/>
      <c r="I129" s="4"/>
    </row>
    <row r="130">
      <c r="D130" s="4"/>
      <c r="I130" s="4"/>
    </row>
    <row r="131">
      <c r="D131" s="4"/>
      <c r="I131" s="4"/>
    </row>
    <row r="132">
      <c r="D132" s="4"/>
      <c r="I132" s="4"/>
    </row>
    <row r="133">
      <c r="D133" s="4"/>
      <c r="I133" s="4"/>
    </row>
    <row r="134">
      <c r="D134" s="4"/>
      <c r="I134" s="4"/>
    </row>
    <row r="135">
      <c r="D135" s="4"/>
      <c r="I135" s="4"/>
    </row>
    <row r="136">
      <c r="D136" s="4"/>
      <c r="I136" s="4"/>
    </row>
    <row r="137">
      <c r="D137" s="4"/>
      <c r="I137" s="4"/>
    </row>
    <row r="138">
      <c r="D138" s="4"/>
      <c r="I138" s="4"/>
    </row>
    <row r="139">
      <c r="D139" s="4"/>
      <c r="I139" s="4"/>
    </row>
    <row r="140">
      <c r="D140" s="4"/>
      <c r="I140" s="4"/>
    </row>
    <row r="141">
      <c r="D141" s="4"/>
      <c r="I141" s="4"/>
    </row>
    <row r="142">
      <c r="D142" s="4"/>
      <c r="I142" s="4"/>
    </row>
    <row r="143">
      <c r="D143" s="4"/>
      <c r="I143" s="4"/>
    </row>
    <row r="144">
      <c r="D144" s="4"/>
      <c r="I144" s="4"/>
    </row>
    <row r="145">
      <c r="D145" s="4"/>
      <c r="I145" s="4"/>
    </row>
    <row r="146">
      <c r="D146" s="4"/>
      <c r="I146" s="4"/>
    </row>
    <row r="147">
      <c r="D147" s="4"/>
      <c r="I147" s="4"/>
    </row>
    <row r="148">
      <c r="D148" s="4"/>
      <c r="I148" s="4"/>
    </row>
    <row r="149">
      <c r="D149" s="4"/>
      <c r="I149" s="4"/>
    </row>
    <row r="150">
      <c r="D150" s="4"/>
      <c r="I150" s="4"/>
    </row>
    <row r="151">
      <c r="D151" s="4"/>
      <c r="I151" s="4"/>
    </row>
    <row r="152">
      <c r="D152" s="4"/>
      <c r="I152" s="4"/>
    </row>
    <row r="153">
      <c r="D153" s="4"/>
      <c r="I153" s="4"/>
    </row>
    <row r="154">
      <c r="D154" s="4"/>
      <c r="I154" s="4"/>
    </row>
    <row r="155">
      <c r="D155" s="4"/>
      <c r="I155" s="4"/>
    </row>
    <row r="156">
      <c r="D156" s="4"/>
      <c r="I156" s="4"/>
    </row>
    <row r="157">
      <c r="D157" s="4"/>
      <c r="I157" s="4"/>
    </row>
    <row r="158">
      <c r="D158" s="4"/>
      <c r="I158" s="4"/>
    </row>
    <row r="159">
      <c r="D159" s="4"/>
      <c r="I159" s="4"/>
    </row>
    <row r="160">
      <c r="D160" s="4"/>
      <c r="I160" s="4"/>
    </row>
    <row r="161">
      <c r="D161" s="4"/>
      <c r="I161" s="4"/>
    </row>
    <row r="162">
      <c r="D162" s="4"/>
      <c r="I162" s="4"/>
    </row>
    <row r="163">
      <c r="D163" s="4"/>
      <c r="I163" s="4"/>
    </row>
    <row r="164">
      <c r="D164" s="4"/>
      <c r="I164" s="4"/>
    </row>
    <row r="165">
      <c r="D165" s="4"/>
      <c r="I165" s="4"/>
    </row>
    <row r="166">
      <c r="D166" s="4"/>
      <c r="I166" s="4"/>
    </row>
    <row r="167">
      <c r="D167" s="4"/>
      <c r="I167" s="4"/>
    </row>
    <row r="168">
      <c r="D168" s="4"/>
      <c r="I168" s="4"/>
    </row>
    <row r="169">
      <c r="D169" s="4"/>
      <c r="I169" s="4"/>
    </row>
    <row r="170">
      <c r="D170" s="4"/>
      <c r="I170" s="4"/>
    </row>
    <row r="171">
      <c r="D171" s="4"/>
      <c r="I171" s="4"/>
    </row>
    <row r="172">
      <c r="D172" s="4"/>
      <c r="I172" s="4"/>
    </row>
    <row r="173">
      <c r="D173" s="4"/>
      <c r="I173" s="4"/>
    </row>
    <row r="174">
      <c r="D174" s="4"/>
      <c r="I174" s="4"/>
    </row>
    <row r="175">
      <c r="D175" s="4"/>
      <c r="I175" s="4"/>
    </row>
    <row r="176">
      <c r="D176" s="4"/>
      <c r="I176" s="4"/>
    </row>
    <row r="177">
      <c r="D177" s="4"/>
      <c r="I177" s="4"/>
    </row>
    <row r="178">
      <c r="D178" s="4"/>
      <c r="I178" s="4"/>
    </row>
    <row r="179">
      <c r="D179" s="4"/>
      <c r="I179" s="4"/>
    </row>
    <row r="180">
      <c r="D180" s="4"/>
      <c r="I180" s="4"/>
    </row>
    <row r="181">
      <c r="D181" s="4"/>
      <c r="I181" s="4"/>
    </row>
    <row r="182">
      <c r="D182" s="4"/>
      <c r="I182" s="4"/>
    </row>
    <row r="183">
      <c r="D183" s="4"/>
      <c r="I183" s="4"/>
    </row>
    <row r="184">
      <c r="D184" s="4"/>
      <c r="I184" s="4"/>
    </row>
    <row r="185">
      <c r="D185" s="4"/>
      <c r="I185" s="4"/>
    </row>
    <row r="186">
      <c r="D186" s="4"/>
      <c r="I186" s="4"/>
    </row>
    <row r="187">
      <c r="D187" s="4"/>
      <c r="I187" s="4"/>
    </row>
    <row r="188">
      <c r="D188" s="4"/>
      <c r="I188" s="4"/>
    </row>
    <row r="189">
      <c r="D189" s="4"/>
      <c r="I189" s="4"/>
    </row>
    <row r="190">
      <c r="D190" s="4"/>
      <c r="I190" s="4"/>
    </row>
    <row r="191">
      <c r="D191" s="4"/>
      <c r="I191" s="4"/>
    </row>
    <row r="192">
      <c r="D192" s="4"/>
      <c r="I192" s="4"/>
    </row>
    <row r="193">
      <c r="D193" s="4"/>
      <c r="I193" s="4"/>
    </row>
    <row r="194">
      <c r="D194" s="4"/>
      <c r="I194" s="4"/>
    </row>
    <row r="195">
      <c r="D195" s="4"/>
      <c r="I195" s="4"/>
    </row>
    <row r="196">
      <c r="D196" s="4"/>
      <c r="I196" s="4"/>
    </row>
    <row r="197">
      <c r="D197" s="4"/>
      <c r="I197" s="4"/>
    </row>
    <row r="198">
      <c r="D198" s="4"/>
      <c r="I198" s="4"/>
    </row>
    <row r="199">
      <c r="D199" s="4"/>
      <c r="I199" s="4"/>
    </row>
    <row r="200">
      <c r="D200" s="4"/>
      <c r="I200" s="4"/>
    </row>
    <row r="201">
      <c r="D201" s="4"/>
      <c r="I201" s="4"/>
    </row>
    <row r="202">
      <c r="D202" s="4"/>
      <c r="I202" s="4"/>
    </row>
    <row r="203">
      <c r="D203" s="4"/>
      <c r="I203" s="4"/>
    </row>
    <row r="204">
      <c r="D204" s="4"/>
      <c r="I204" s="4"/>
    </row>
    <row r="205">
      <c r="D205" s="4"/>
      <c r="I205" s="4"/>
    </row>
    <row r="206">
      <c r="D206" s="4"/>
      <c r="I206" s="4"/>
    </row>
    <row r="207">
      <c r="D207" s="4"/>
      <c r="I207" s="4"/>
    </row>
    <row r="208">
      <c r="D208" s="4"/>
      <c r="I208" s="4"/>
    </row>
    <row r="209">
      <c r="D209" s="4"/>
      <c r="I209" s="4"/>
    </row>
    <row r="210">
      <c r="D210" s="4"/>
      <c r="I210" s="4"/>
    </row>
    <row r="211">
      <c r="D211" s="4"/>
      <c r="I211" s="4"/>
    </row>
    <row r="212">
      <c r="D212" s="4"/>
      <c r="I212" s="4"/>
    </row>
    <row r="213">
      <c r="D213" s="4"/>
      <c r="I213" s="4"/>
    </row>
    <row r="214">
      <c r="D214" s="4"/>
      <c r="I214" s="4"/>
    </row>
    <row r="215">
      <c r="D215" s="4"/>
      <c r="I215" s="4"/>
    </row>
    <row r="216">
      <c r="D216" s="4"/>
      <c r="I216" s="4"/>
    </row>
    <row r="217">
      <c r="D217" s="4"/>
      <c r="I217" s="4"/>
    </row>
    <row r="218">
      <c r="D218" s="4"/>
      <c r="I218" s="4"/>
    </row>
    <row r="219">
      <c r="D219" s="4"/>
      <c r="I219" s="4"/>
    </row>
    <row r="220">
      <c r="D220" s="4"/>
      <c r="I220" s="4"/>
    </row>
    <row r="221">
      <c r="D221" s="4"/>
      <c r="I221" s="4"/>
    </row>
    <row r="222">
      <c r="D222" s="4"/>
      <c r="I222" s="4"/>
    </row>
    <row r="223">
      <c r="D223" s="4"/>
      <c r="I223" s="4"/>
    </row>
    <row r="224">
      <c r="D224" s="4"/>
      <c r="I224" s="4"/>
    </row>
    <row r="225">
      <c r="D225" s="4"/>
      <c r="I225" s="4"/>
    </row>
    <row r="226">
      <c r="D226" s="4"/>
      <c r="I226" s="4"/>
    </row>
    <row r="227">
      <c r="D227" s="4"/>
      <c r="I227" s="4"/>
    </row>
    <row r="228">
      <c r="D228" s="4"/>
      <c r="I228" s="4"/>
    </row>
    <row r="229">
      <c r="D229" s="4"/>
      <c r="I229" s="4"/>
    </row>
    <row r="230">
      <c r="D230" s="4"/>
      <c r="I230" s="4"/>
    </row>
    <row r="231">
      <c r="D231" s="4"/>
      <c r="I231" s="4"/>
    </row>
    <row r="232">
      <c r="D232" s="4"/>
      <c r="I232" s="4"/>
    </row>
    <row r="233">
      <c r="D233" s="4"/>
      <c r="I233" s="4"/>
    </row>
    <row r="234">
      <c r="D234" s="4"/>
      <c r="I234" s="4"/>
    </row>
    <row r="235">
      <c r="D235" s="4"/>
      <c r="I235" s="4"/>
    </row>
    <row r="236">
      <c r="D236" s="4"/>
      <c r="I236" s="4"/>
    </row>
    <row r="237">
      <c r="D237" s="4"/>
      <c r="I237" s="4"/>
    </row>
    <row r="238">
      <c r="D238" s="4"/>
      <c r="I238" s="4"/>
    </row>
    <row r="239">
      <c r="D239" s="4"/>
      <c r="I239" s="4"/>
    </row>
    <row r="240">
      <c r="D240" s="4"/>
      <c r="I240" s="4"/>
    </row>
    <row r="241">
      <c r="D241" s="4"/>
      <c r="I241" s="4"/>
    </row>
    <row r="242">
      <c r="D242" s="4"/>
      <c r="I242" s="4"/>
    </row>
    <row r="243">
      <c r="D243" s="4"/>
      <c r="I243" s="4"/>
    </row>
    <row r="244">
      <c r="D244" s="4"/>
      <c r="I244" s="4"/>
    </row>
    <row r="245">
      <c r="D245" s="4"/>
      <c r="I245" s="4"/>
    </row>
    <row r="246">
      <c r="D246" s="4"/>
      <c r="I246" s="4"/>
    </row>
    <row r="247">
      <c r="D247" s="4"/>
      <c r="I247" s="4"/>
    </row>
    <row r="248">
      <c r="D248" s="4"/>
      <c r="I248" s="4"/>
    </row>
    <row r="249">
      <c r="D249" s="4"/>
      <c r="I249" s="4"/>
    </row>
    <row r="250">
      <c r="D250" s="4"/>
      <c r="I250" s="4"/>
    </row>
    <row r="251">
      <c r="D251" s="4"/>
      <c r="I251" s="4"/>
    </row>
    <row r="252">
      <c r="D252" s="4"/>
      <c r="I252" s="4"/>
    </row>
    <row r="253">
      <c r="D253" s="4"/>
      <c r="I253" s="4"/>
    </row>
    <row r="254">
      <c r="D254" s="4"/>
      <c r="I254" s="4"/>
    </row>
    <row r="255">
      <c r="D255" s="4"/>
      <c r="I255" s="4"/>
    </row>
    <row r="256">
      <c r="D256" s="4"/>
      <c r="I256" s="4"/>
    </row>
    <row r="257">
      <c r="D257" s="4"/>
      <c r="I257" s="4"/>
    </row>
    <row r="258">
      <c r="D258" s="4"/>
      <c r="I258" s="4"/>
    </row>
    <row r="259">
      <c r="D259" s="4"/>
      <c r="I259" s="4"/>
    </row>
    <row r="260">
      <c r="D260" s="4"/>
      <c r="I260" s="4"/>
    </row>
    <row r="261">
      <c r="D261" s="4"/>
      <c r="I261" s="4"/>
    </row>
    <row r="262">
      <c r="D262" s="4"/>
      <c r="I262" s="4"/>
    </row>
    <row r="263">
      <c r="D263" s="4"/>
      <c r="I263" s="4"/>
    </row>
    <row r="264">
      <c r="D264" s="4"/>
      <c r="I264" s="4"/>
    </row>
    <row r="265">
      <c r="D265" s="4"/>
      <c r="I265" s="4"/>
    </row>
    <row r="266">
      <c r="D266" s="4"/>
      <c r="I266" s="4"/>
    </row>
    <row r="267">
      <c r="D267" s="4"/>
      <c r="I267" s="4"/>
    </row>
    <row r="268">
      <c r="D268" s="4"/>
      <c r="I268" s="4"/>
    </row>
    <row r="269">
      <c r="D269" s="4"/>
      <c r="I269" s="4"/>
    </row>
    <row r="270">
      <c r="D270" s="4"/>
      <c r="I270" s="4"/>
    </row>
    <row r="271">
      <c r="D271" s="4"/>
      <c r="I271" s="4"/>
    </row>
    <row r="272">
      <c r="D272" s="4"/>
      <c r="I272" s="4"/>
    </row>
    <row r="273">
      <c r="D273" s="4"/>
      <c r="I273" s="4"/>
    </row>
    <row r="274">
      <c r="D274" s="4"/>
      <c r="I274" s="4"/>
    </row>
    <row r="275">
      <c r="D275" s="4"/>
      <c r="I275" s="4"/>
    </row>
    <row r="276">
      <c r="D276" s="4"/>
      <c r="I276" s="4"/>
    </row>
    <row r="277">
      <c r="D277" s="4"/>
      <c r="I277" s="4"/>
    </row>
    <row r="278">
      <c r="D278" s="4"/>
      <c r="I278" s="4"/>
    </row>
    <row r="279">
      <c r="D279" s="4"/>
      <c r="I279" s="4"/>
    </row>
    <row r="280">
      <c r="D280" s="4"/>
      <c r="I280" s="4"/>
    </row>
    <row r="281">
      <c r="D281" s="4"/>
      <c r="I281" s="4"/>
    </row>
    <row r="282">
      <c r="D282" s="4"/>
      <c r="I282" s="4"/>
    </row>
    <row r="283">
      <c r="D283" s="4"/>
      <c r="I283" s="4"/>
    </row>
    <row r="284">
      <c r="D284" s="4"/>
      <c r="I284" s="4"/>
    </row>
    <row r="285">
      <c r="D285" s="4"/>
      <c r="I285" s="4"/>
    </row>
    <row r="286">
      <c r="D286" s="4"/>
      <c r="I286" s="4"/>
    </row>
    <row r="287">
      <c r="D287" s="4"/>
      <c r="I287" s="4"/>
    </row>
    <row r="288">
      <c r="D288" s="4"/>
      <c r="I288" s="4"/>
    </row>
    <row r="289">
      <c r="D289" s="4"/>
      <c r="I289" s="4"/>
    </row>
    <row r="290">
      <c r="D290" s="4"/>
      <c r="I290" s="4"/>
    </row>
    <row r="291">
      <c r="D291" s="4"/>
      <c r="I291" s="4"/>
    </row>
    <row r="292">
      <c r="D292" s="4"/>
      <c r="I292" s="4"/>
    </row>
    <row r="293">
      <c r="D293" s="4"/>
      <c r="I293" s="4"/>
    </row>
    <row r="294">
      <c r="D294" s="4"/>
      <c r="I294" s="4"/>
    </row>
    <row r="295">
      <c r="D295" s="4"/>
      <c r="I295" s="4"/>
    </row>
    <row r="296">
      <c r="D296" s="4"/>
      <c r="I296" s="4"/>
    </row>
    <row r="297">
      <c r="D297" s="4"/>
      <c r="I297" s="4"/>
    </row>
    <row r="298">
      <c r="D298" s="4"/>
      <c r="I298" s="4"/>
    </row>
    <row r="299">
      <c r="D299" s="4"/>
      <c r="I299" s="4"/>
    </row>
    <row r="300">
      <c r="D300" s="4"/>
      <c r="I300" s="4"/>
    </row>
    <row r="301">
      <c r="D301" s="4"/>
      <c r="I301" s="4"/>
    </row>
    <row r="302">
      <c r="D302" s="4"/>
      <c r="I302" s="4"/>
    </row>
    <row r="303">
      <c r="D303" s="4"/>
      <c r="I303" s="4"/>
    </row>
    <row r="304">
      <c r="D304" s="4"/>
      <c r="I304" s="4"/>
    </row>
    <row r="305">
      <c r="D305" s="4"/>
      <c r="I305" s="4"/>
    </row>
    <row r="306">
      <c r="D306" s="4"/>
      <c r="I306" s="4"/>
    </row>
    <row r="307">
      <c r="D307" s="4"/>
      <c r="I307" s="4"/>
    </row>
    <row r="308">
      <c r="D308" s="4"/>
      <c r="I308" s="4"/>
    </row>
    <row r="309">
      <c r="D309" s="4"/>
      <c r="I309" s="4"/>
    </row>
    <row r="310">
      <c r="D310" s="4"/>
      <c r="I310" s="4"/>
    </row>
    <row r="311">
      <c r="D311" s="4"/>
      <c r="I311" s="4"/>
    </row>
    <row r="312">
      <c r="D312" s="4"/>
      <c r="I312" s="4"/>
    </row>
    <row r="313">
      <c r="D313" s="4"/>
      <c r="I313" s="4"/>
    </row>
    <row r="314">
      <c r="D314" s="4"/>
      <c r="I314" s="4"/>
    </row>
    <row r="315">
      <c r="D315" s="4"/>
      <c r="I315" s="4"/>
    </row>
    <row r="316">
      <c r="D316" s="4"/>
      <c r="I316" s="4"/>
    </row>
    <row r="317">
      <c r="D317" s="4"/>
      <c r="I317" s="4"/>
    </row>
    <row r="318">
      <c r="D318" s="4"/>
      <c r="I318" s="4"/>
    </row>
    <row r="319">
      <c r="D319" s="4"/>
      <c r="I319" s="4"/>
    </row>
    <row r="320">
      <c r="D320" s="4"/>
      <c r="I320" s="4"/>
    </row>
    <row r="321">
      <c r="D321" s="4"/>
      <c r="I321" s="4"/>
    </row>
    <row r="322">
      <c r="D322" s="4"/>
      <c r="I322" s="4"/>
    </row>
    <row r="323">
      <c r="D323" s="4"/>
      <c r="I323" s="4"/>
    </row>
    <row r="324">
      <c r="D324" s="4"/>
      <c r="I324" s="4"/>
    </row>
    <row r="325">
      <c r="D325" s="4"/>
      <c r="I325" s="4"/>
    </row>
    <row r="326">
      <c r="D326" s="4"/>
      <c r="I326" s="4"/>
    </row>
    <row r="327">
      <c r="D327" s="4"/>
      <c r="I327" s="4"/>
    </row>
    <row r="328">
      <c r="D328" s="4"/>
      <c r="I328" s="4"/>
    </row>
    <row r="329">
      <c r="D329" s="4"/>
      <c r="I329" s="4"/>
    </row>
    <row r="330">
      <c r="D330" s="4"/>
      <c r="I330" s="4"/>
    </row>
    <row r="331">
      <c r="D331" s="4"/>
      <c r="I331" s="4"/>
    </row>
    <row r="332">
      <c r="D332" s="4"/>
      <c r="I332" s="4"/>
    </row>
    <row r="333">
      <c r="D333" s="4"/>
      <c r="I333" s="4"/>
    </row>
    <row r="334">
      <c r="D334" s="4"/>
      <c r="I334" s="4"/>
    </row>
    <row r="335">
      <c r="D335" s="4"/>
      <c r="I335" s="4"/>
    </row>
    <row r="336">
      <c r="D336" s="4"/>
      <c r="I336" s="4"/>
    </row>
    <row r="337">
      <c r="D337" s="4"/>
      <c r="I337" s="4"/>
    </row>
    <row r="338">
      <c r="D338" s="4"/>
      <c r="I338" s="4"/>
    </row>
    <row r="339">
      <c r="D339" s="4"/>
      <c r="I339" s="4"/>
    </row>
    <row r="340">
      <c r="D340" s="4"/>
      <c r="I340" s="4"/>
    </row>
    <row r="341">
      <c r="D341" s="4"/>
      <c r="I341" s="4"/>
    </row>
    <row r="342">
      <c r="D342" s="4"/>
      <c r="I342" s="4"/>
    </row>
    <row r="343">
      <c r="D343" s="4"/>
      <c r="I343" s="4"/>
    </row>
    <row r="344">
      <c r="D344" s="4"/>
      <c r="I344" s="4"/>
    </row>
    <row r="345">
      <c r="D345" s="4"/>
      <c r="I345" s="4"/>
    </row>
    <row r="346">
      <c r="D346" s="4"/>
      <c r="I346" s="4"/>
    </row>
    <row r="347">
      <c r="D347" s="4"/>
      <c r="I347" s="4"/>
    </row>
    <row r="348">
      <c r="D348" s="4"/>
      <c r="I348" s="4"/>
    </row>
    <row r="349">
      <c r="D349" s="4"/>
      <c r="I349" s="4"/>
    </row>
    <row r="350">
      <c r="D350" s="4"/>
      <c r="I350" s="4"/>
    </row>
    <row r="351">
      <c r="D351" s="4"/>
      <c r="I351" s="4"/>
    </row>
    <row r="352">
      <c r="D352" s="4"/>
      <c r="I352" s="4"/>
    </row>
    <row r="353">
      <c r="D353" s="4"/>
      <c r="I353" s="4"/>
    </row>
    <row r="354">
      <c r="D354" s="4"/>
      <c r="I354" s="4"/>
    </row>
    <row r="355">
      <c r="D355" s="4"/>
      <c r="I355" s="4"/>
    </row>
    <row r="356">
      <c r="D356" s="4"/>
      <c r="I356" s="4"/>
    </row>
    <row r="357">
      <c r="D357" s="4"/>
      <c r="I357" s="4"/>
    </row>
    <row r="358">
      <c r="D358" s="4"/>
      <c r="I358" s="4"/>
    </row>
    <row r="359">
      <c r="D359" s="4"/>
      <c r="I359" s="4"/>
    </row>
    <row r="360">
      <c r="D360" s="4"/>
      <c r="I360" s="4"/>
    </row>
    <row r="361">
      <c r="D361" s="4"/>
      <c r="I361" s="4"/>
    </row>
    <row r="362">
      <c r="D362" s="4"/>
      <c r="I362" s="4"/>
    </row>
    <row r="363">
      <c r="D363" s="4"/>
      <c r="I363" s="4"/>
    </row>
    <row r="364">
      <c r="D364" s="4"/>
      <c r="I364" s="4"/>
    </row>
    <row r="365">
      <c r="D365" s="4"/>
      <c r="I365" s="4"/>
    </row>
    <row r="366">
      <c r="D366" s="4"/>
      <c r="I366" s="4"/>
    </row>
    <row r="367">
      <c r="D367" s="4"/>
      <c r="I367" s="4"/>
    </row>
    <row r="368">
      <c r="D368" s="4"/>
      <c r="I368" s="4"/>
    </row>
    <row r="369">
      <c r="D369" s="4"/>
      <c r="I369" s="4"/>
    </row>
    <row r="370">
      <c r="D370" s="4"/>
      <c r="I370" s="4"/>
    </row>
    <row r="371">
      <c r="D371" s="4"/>
      <c r="I371" s="4"/>
    </row>
    <row r="372">
      <c r="D372" s="4"/>
      <c r="I372" s="4"/>
    </row>
    <row r="373">
      <c r="D373" s="4"/>
      <c r="I373" s="4"/>
    </row>
    <row r="374">
      <c r="D374" s="4"/>
      <c r="I374" s="4"/>
    </row>
    <row r="375">
      <c r="D375" s="4"/>
      <c r="I375" s="4"/>
    </row>
    <row r="376">
      <c r="D376" s="4"/>
      <c r="I376" s="4"/>
    </row>
    <row r="377">
      <c r="D377" s="4"/>
      <c r="I377" s="4"/>
    </row>
    <row r="378">
      <c r="D378" s="4"/>
      <c r="I378" s="4"/>
    </row>
    <row r="379">
      <c r="D379" s="4"/>
      <c r="I379" s="4"/>
    </row>
    <row r="380">
      <c r="D380" s="4"/>
      <c r="I380" s="4"/>
    </row>
    <row r="381">
      <c r="D381" s="4"/>
      <c r="I381" s="4"/>
    </row>
    <row r="382">
      <c r="D382" s="4"/>
      <c r="I382" s="4"/>
    </row>
    <row r="383">
      <c r="D383" s="4"/>
      <c r="I383" s="4"/>
    </row>
    <row r="384">
      <c r="D384" s="4"/>
      <c r="I384" s="4"/>
    </row>
    <row r="385">
      <c r="D385" s="4"/>
      <c r="I385" s="4"/>
    </row>
    <row r="386">
      <c r="D386" s="4"/>
      <c r="I386" s="4"/>
    </row>
    <row r="387">
      <c r="D387" s="4"/>
      <c r="I387" s="4"/>
    </row>
    <row r="388">
      <c r="D388" s="4"/>
      <c r="I388" s="4"/>
    </row>
    <row r="389">
      <c r="D389" s="4"/>
      <c r="I389" s="4"/>
    </row>
    <row r="390">
      <c r="D390" s="4"/>
      <c r="I390" s="4"/>
    </row>
    <row r="391">
      <c r="D391" s="4"/>
      <c r="I391" s="4"/>
    </row>
    <row r="392">
      <c r="D392" s="4"/>
      <c r="I392" s="4"/>
    </row>
    <row r="393">
      <c r="D393" s="4"/>
      <c r="I393" s="4"/>
    </row>
    <row r="394">
      <c r="D394" s="4"/>
      <c r="I394" s="4"/>
    </row>
    <row r="395">
      <c r="D395" s="4"/>
      <c r="I395" s="4"/>
    </row>
    <row r="396">
      <c r="D396" s="4"/>
      <c r="I396" s="4"/>
    </row>
    <row r="397">
      <c r="D397" s="4"/>
      <c r="I397" s="4"/>
    </row>
    <row r="398">
      <c r="D398" s="4"/>
      <c r="I398" s="4"/>
    </row>
    <row r="399">
      <c r="D399" s="4"/>
      <c r="I399" s="4"/>
    </row>
    <row r="400">
      <c r="D400" s="4"/>
      <c r="I400" s="4"/>
    </row>
    <row r="401">
      <c r="D401" s="4"/>
      <c r="I401" s="4"/>
    </row>
    <row r="402">
      <c r="D402" s="4"/>
      <c r="I402" s="4"/>
    </row>
    <row r="403">
      <c r="D403" s="4"/>
      <c r="I403" s="4"/>
    </row>
    <row r="404">
      <c r="D404" s="4"/>
      <c r="I404" s="4"/>
    </row>
    <row r="405">
      <c r="D405" s="4"/>
      <c r="I405" s="4"/>
    </row>
    <row r="406">
      <c r="D406" s="4"/>
      <c r="I406" s="4"/>
    </row>
    <row r="407">
      <c r="D407" s="4"/>
      <c r="I407" s="4"/>
    </row>
    <row r="408">
      <c r="D408" s="4"/>
      <c r="I408" s="4"/>
    </row>
    <row r="409">
      <c r="D409" s="4"/>
      <c r="I409" s="4"/>
    </row>
    <row r="410">
      <c r="D410" s="4"/>
      <c r="I410" s="4"/>
    </row>
    <row r="411">
      <c r="D411" s="4"/>
      <c r="I411" s="4"/>
    </row>
    <row r="412">
      <c r="D412" s="4"/>
      <c r="I412" s="4"/>
    </row>
    <row r="413">
      <c r="D413" s="4"/>
      <c r="I413" s="4"/>
    </row>
    <row r="414">
      <c r="D414" s="4"/>
      <c r="I414" s="4"/>
    </row>
    <row r="415">
      <c r="D415" s="4"/>
      <c r="I415" s="4"/>
    </row>
    <row r="416">
      <c r="D416" s="4"/>
      <c r="I416" s="4"/>
    </row>
    <row r="417">
      <c r="D417" s="4"/>
      <c r="I417" s="4"/>
    </row>
    <row r="418">
      <c r="D418" s="4"/>
      <c r="I418" s="4"/>
    </row>
    <row r="419">
      <c r="D419" s="4"/>
      <c r="I419" s="4"/>
    </row>
    <row r="420">
      <c r="D420" s="4"/>
      <c r="I420" s="4"/>
    </row>
    <row r="421">
      <c r="D421" s="4"/>
      <c r="I421" s="4"/>
    </row>
    <row r="422">
      <c r="D422" s="4"/>
      <c r="I422" s="4"/>
    </row>
    <row r="423">
      <c r="D423" s="4"/>
      <c r="I423" s="4"/>
    </row>
    <row r="424">
      <c r="D424" s="4"/>
      <c r="I424" s="4"/>
    </row>
    <row r="425">
      <c r="D425" s="4"/>
      <c r="I425" s="4"/>
    </row>
    <row r="426">
      <c r="D426" s="4"/>
      <c r="I426" s="4"/>
    </row>
    <row r="427">
      <c r="D427" s="4"/>
      <c r="I427" s="4"/>
    </row>
    <row r="428">
      <c r="D428" s="4"/>
      <c r="I428" s="4"/>
    </row>
    <row r="429">
      <c r="D429" s="4"/>
      <c r="I429" s="4"/>
    </row>
    <row r="430">
      <c r="D430" s="4"/>
      <c r="I430" s="4"/>
    </row>
    <row r="431">
      <c r="D431" s="4"/>
      <c r="I431" s="4"/>
    </row>
    <row r="432">
      <c r="D432" s="4"/>
      <c r="I432" s="4"/>
    </row>
    <row r="433">
      <c r="D433" s="4"/>
      <c r="I433" s="4"/>
    </row>
    <row r="434">
      <c r="D434" s="4"/>
      <c r="I434" s="4"/>
    </row>
    <row r="435">
      <c r="D435" s="4"/>
      <c r="I435" s="4"/>
    </row>
    <row r="436">
      <c r="D436" s="4"/>
      <c r="I436" s="4"/>
    </row>
    <row r="437">
      <c r="D437" s="4"/>
      <c r="I437" s="4"/>
    </row>
    <row r="438">
      <c r="D438" s="4"/>
      <c r="I438" s="4"/>
    </row>
    <row r="439">
      <c r="D439" s="4"/>
      <c r="I439" s="4"/>
    </row>
    <row r="440">
      <c r="D440" s="4"/>
      <c r="I440" s="4"/>
    </row>
    <row r="441">
      <c r="D441" s="4"/>
      <c r="I441" s="4"/>
    </row>
    <row r="442">
      <c r="D442" s="4"/>
      <c r="I442" s="4"/>
    </row>
    <row r="443">
      <c r="D443" s="4"/>
      <c r="I443" s="4"/>
    </row>
    <row r="444">
      <c r="D444" s="4"/>
      <c r="I444" s="4"/>
    </row>
    <row r="445">
      <c r="D445" s="4"/>
      <c r="I445" s="4"/>
    </row>
    <row r="446">
      <c r="D446" s="4"/>
      <c r="I446" s="4"/>
    </row>
    <row r="447">
      <c r="D447" s="4"/>
      <c r="I447" s="4"/>
    </row>
    <row r="448">
      <c r="D448" s="4"/>
      <c r="I448" s="4"/>
    </row>
    <row r="449">
      <c r="D449" s="4"/>
      <c r="I449" s="4"/>
    </row>
    <row r="450">
      <c r="D450" s="4"/>
      <c r="I450" s="4"/>
    </row>
    <row r="451">
      <c r="D451" s="4"/>
      <c r="I451" s="4"/>
    </row>
    <row r="452">
      <c r="D452" s="4"/>
      <c r="I452" s="4"/>
    </row>
    <row r="453">
      <c r="D453" s="4"/>
      <c r="I453" s="4"/>
    </row>
    <row r="454">
      <c r="D454" s="4"/>
      <c r="I454" s="4"/>
    </row>
    <row r="455">
      <c r="D455" s="4"/>
      <c r="I455" s="4"/>
    </row>
    <row r="456">
      <c r="D456" s="4"/>
      <c r="I456" s="4"/>
    </row>
    <row r="457">
      <c r="D457" s="4"/>
      <c r="I457" s="4"/>
    </row>
    <row r="458">
      <c r="D458" s="4"/>
      <c r="I458" s="4"/>
    </row>
    <row r="459">
      <c r="D459" s="4"/>
      <c r="I459" s="4"/>
    </row>
    <row r="460">
      <c r="D460" s="4"/>
      <c r="I460" s="4"/>
    </row>
    <row r="461">
      <c r="D461" s="4"/>
      <c r="I461" s="4"/>
    </row>
    <row r="462">
      <c r="D462" s="4"/>
      <c r="I462" s="4"/>
    </row>
    <row r="463">
      <c r="D463" s="4"/>
      <c r="I463" s="4"/>
    </row>
    <row r="464">
      <c r="D464" s="4"/>
      <c r="I464" s="4"/>
    </row>
    <row r="465">
      <c r="D465" s="4"/>
      <c r="I465" s="4"/>
    </row>
    <row r="466">
      <c r="D466" s="4"/>
      <c r="I466" s="4"/>
    </row>
    <row r="467">
      <c r="D467" s="4"/>
      <c r="I467" s="4"/>
    </row>
    <row r="468">
      <c r="D468" s="4"/>
      <c r="I468" s="4"/>
    </row>
    <row r="469">
      <c r="D469" s="4"/>
      <c r="I469" s="4"/>
    </row>
    <row r="470">
      <c r="D470" s="4"/>
      <c r="I470" s="4"/>
    </row>
    <row r="471">
      <c r="D471" s="4"/>
      <c r="I471" s="4"/>
    </row>
    <row r="472">
      <c r="D472" s="4"/>
      <c r="I472" s="4"/>
    </row>
    <row r="473">
      <c r="D473" s="4"/>
      <c r="I473" s="4"/>
    </row>
    <row r="474">
      <c r="D474" s="4"/>
      <c r="I474" s="4"/>
    </row>
    <row r="475">
      <c r="D475" s="4"/>
      <c r="I475" s="4"/>
    </row>
    <row r="476">
      <c r="D476" s="4"/>
      <c r="I476" s="4"/>
    </row>
    <row r="477">
      <c r="D477" s="4"/>
      <c r="I477" s="4"/>
    </row>
    <row r="478">
      <c r="D478" s="4"/>
      <c r="I478" s="4"/>
    </row>
    <row r="479">
      <c r="D479" s="4"/>
      <c r="I479" s="4"/>
    </row>
    <row r="480">
      <c r="D480" s="4"/>
      <c r="I480" s="4"/>
    </row>
    <row r="481">
      <c r="D481" s="4"/>
      <c r="I481" s="4"/>
    </row>
    <row r="482">
      <c r="D482" s="4"/>
      <c r="I482" s="4"/>
    </row>
    <row r="483">
      <c r="D483" s="4"/>
      <c r="I483" s="4"/>
    </row>
    <row r="484">
      <c r="D484" s="4"/>
      <c r="I484" s="4"/>
    </row>
    <row r="485">
      <c r="D485" s="4"/>
      <c r="I485" s="4"/>
    </row>
    <row r="486">
      <c r="D486" s="4"/>
      <c r="I486" s="4"/>
    </row>
    <row r="487">
      <c r="D487" s="4"/>
      <c r="I487" s="4"/>
    </row>
    <row r="488">
      <c r="D488" s="4"/>
      <c r="I488" s="4"/>
    </row>
    <row r="489">
      <c r="D489" s="4"/>
      <c r="I489" s="4"/>
    </row>
    <row r="490">
      <c r="D490" s="4"/>
      <c r="I490" s="4"/>
    </row>
    <row r="491">
      <c r="D491" s="4"/>
      <c r="I491" s="4"/>
    </row>
    <row r="492">
      <c r="D492" s="4"/>
      <c r="I492" s="4"/>
    </row>
    <row r="493">
      <c r="D493" s="4"/>
      <c r="I493" s="4"/>
    </row>
    <row r="494">
      <c r="D494" s="4"/>
      <c r="I494" s="4"/>
    </row>
    <row r="495">
      <c r="D495" s="4"/>
      <c r="I495" s="4"/>
    </row>
    <row r="496">
      <c r="D496" s="4"/>
      <c r="I496" s="4"/>
    </row>
    <row r="497">
      <c r="D497" s="4"/>
      <c r="I497" s="4"/>
    </row>
    <row r="498">
      <c r="D498" s="4"/>
      <c r="I498" s="4"/>
    </row>
    <row r="499">
      <c r="D499" s="4"/>
      <c r="I499" s="4"/>
    </row>
    <row r="500">
      <c r="D500" s="4"/>
      <c r="I500" s="4"/>
    </row>
    <row r="501">
      <c r="D501" s="4"/>
      <c r="I501" s="4"/>
    </row>
    <row r="502">
      <c r="D502" s="4"/>
      <c r="I502" s="4"/>
    </row>
    <row r="503">
      <c r="D503" s="4"/>
      <c r="I503" s="4"/>
    </row>
    <row r="504">
      <c r="D504" s="4"/>
      <c r="I504" s="4"/>
    </row>
    <row r="505">
      <c r="D505" s="4"/>
      <c r="I505" s="4"/>
    </row>
    <row r="506">
      <c r="D506" s="4"/>
      <c r="I506" s="4"/>
    </row>
    <row r="507">
      <c r="D507" s="4"/>
      <c r="I507" s="4"/>
    </row>
    <row r="508">
      <c r="D508" s="4"/>
      <c r="I508" s="4"/>
    </row>
    <row r="509">
      <c r="D509" s="4"/>
      <c r="I509" s="4"/>
    </row>
    <row r="510">
      <c r="D510" s="4"/>
      <c r="I510" s="4"/>
    </row>
    <row r="511">
      <c r="D511" s="4"/>
      <c r="I511" s="4"/>
    </row>
    <row r="512">
      <c r="D512" s="4"/>
      <c r="I512" s="4"/>
    </row>
    <row r="513">
      <c r="D513" s="4"/>
      <c r="I513" s="4"/>
    </row>
    <row r="514">
      <c r="D514" s="4"/>
      <c r="I514" s="4"/>
    </row>
    <row r="515">
      <c r="D515" s="4"/>
      <c r="I515" s="4"/>
    </row>
    <row r="516">
      <c r="D516" s="4"/>
      <c r="I516" s="4"/>
    </row>
    <row r="517">
      <c r="D517" s="4"/>
      <c r="I517" s="4"/>
    </row>
    <row r="518">
      <c r="D518" s="4"/>
      <c r="I518" s="4"/>
    </row>
    <row r="519">
      <c r="D519" s="4"/>
      <c r="I519" s="4"/>
    </row>
    <row r="520">
      <c r="D520" s="4"/>
      <c r="I520" s="4"/>
    </row>
    <row r="521">
      <c r="D521" s="4"/>
      <c r="I521" s="4"/>
    </row>
    <row r="522">
      <c r="D522" s="4"/>
      <c r="I522" s="4"/>
    </row>
    <row r="523">
      <c r="D523" s="4"/>
      <c r="I523" s="4"/>
    </row>
    <row r="524">
      <c r="D524" s="4"/>
      <c r="I524" s="4"/>
    </row>
    <row r="525">
      <c r="D525" s="4"/>
      <c r="I525" s="4"/>
    </row>
    <row r="526">
      <c r="D526" s="4"/>
      <c r="I526" s="4"/>
    </row>
    <row r="527">
      <c r="D527" s="4"/>
      <c r="I527" s="4"/>
    </row>
    <row r="528">
      <c r="D528" s="4"/>
      <c r="I528" s="4"/>
    </row>
    <row r="529">
      <c r="D529" s="4"/>
      <c r="I529" s="4"/>
    </row>
    <row r="530">
      <c r="D530" s="4"/>
      <c r="I530" s="4"/>
    </row>
    <row r="531">
      <c r="D531" s="4"/>
      <c r="I531" s="4"/>
    </row>
    <row r="532">
      <c r="D532" s="4"/>
      <c r="I532" s="4"/>
    </row>
    <row r="533">
      <c r="D533" s="4"/>
      <c r="I533" s="4"/>
    </row>
    <row r="534">
      <c r="D534" s="4"/>
      <c r="I534" s="4"/>
    </row>
    <row r="535">
      <c r="D535" s="4"/>
      <c r="I535" s="4"/>
    </row>
    <row r="536">
      <c r="D536" s="4"/>
      <c r="I536" s="4"/>
    </row>
    <row r="537">
      <c r="D537" s="4"/>
      <c r="I537" s="4"/>
    </row>
    <row r="538">
      <c r="D538" s="4"/>
      <c r="I538" s="4"/>
    </row>
    <row r="539">
      <c r="D539" s="4"/>
      <c r="I539" s="4"/>
    </row>
    <row r="540">
      <c r="D540" s="4"/>
      <c r="I540" s="4"/>
    </row>
    <row r="541">
      <c r="D541" s="4"/>
      <c r="I541" s="4"/>
    </row>
    <row r="542">
      <c r="D542" s="4"/>
      <c r="I542" s="4"/>
    </row>
    <row r="543">
      <c r="D543" s="4"/>
      <c r="I543" s="4"/>
    </row>
    <row r="544">
      <c r="D544" s="4"/>
      <c r="I544" s="4"/>
    </row>
    <row r="545">
      <c r="D545" s="4"/>
      <c r="I545" s="4"/>
    </row>
    <row r="546">
      <c r="D546" s="4"/>
      <c r="I546" s="4"/>
    </row>
    <row r="547">
      <c r="D547" s="4"/>
      <c r="I547" s="4"/>
    </row>
    <row r="548">
      <c r="D548" s="4"/>
      <c r="I548" s="4"/>
    </row>
    <row r="549">
      <c r="D549" s="4"/>
      <c r="I549" s="4"/>
    </row>
    <row r="550">
      <c r="D550" s="4"/>
      <c r="I550" s="4"/>
    </row>
    <row r="551">
      <c r="D551" s="4"/>
      <c r="I551" s="4"/>
    </row>
    <row r="552">
      <c r="D552" s="4"/>
      <c r="I552" s="4"/>
    </row>
    <row r="553">
      <c r="D553" s="4"/>
      <c r="I553" s="4"/>
    </row>
    <row r="554">
      <c r="D554" s="4"/>
      <c r="I554" s="4"/>
    </row>
    <row r="555">
      <c r="D555" s="4"/>
      <c r="I555" s="4"/>
    </row>
    <row r="556">
      <c r="D556" s="4"/>
      <c r="I556" s="4"/>
    </row>
    <row r="557">
      <c r="D557" s="4"/>
      <c r="I557" s="4"/>
    </row>
    <row r="558">
      <c r="D558" s="4"/>
      <c r="I558" s="4"/>
    </row>
    <row r="559">
      <c r="D559" s="4"/>
      <c r="I559" s="4"/>
    </row>
    <row r="560">
      <c r="D560" s="4"/>
      <c r="I560" s="4"/>
    </row>
    <row r="561">
      <c r="D561" s="4"/>
      <c r="I561" s="4"/>
    </row>
    <row r="562">
      <c r="D562" s="4"/>
      <c r="I562" s="4"/>
    </row>
    <row r="563">
      <c r="D563" s="4"/>
      <c r="I563" s="4"/>
    </row>
    <row r="564">
      <c r="D564" s="4"/>
      <c r="I564" s="4"/>
    </row>
    <row r="565">
      <c r="D565" s="4"/>
      <c r="I565" s="4"/>
    </row>
    <row r="566">
      <c r="D566" s="4"/>
      <c r="I566" s="4"/>
    </row>
    <row r="567">
      <c r="D567" s="4"/>
      <c r="I567" s="4"/>
    </row>
    <row r="568">
      <c r="D568" s="4"/>
      <c r="I568" s="4"/>
    </row>
    <row r="569">
      <c r="D569" s="4"/>
      <c r="I569" s="4"/>
    </row>
    <row r="570">
      <c r="D570" s="4"/>
      <c r="I570" s="4"/>
    </row>
    <row r="571">
      <c r="D571" s="4"/>
      <c r="I571" s="4"/>
    </row>
    <row r="572">
      <c r="D572" s="4"/>
      <c r="I572" s="4"/>
    </row>
    <row r="573">
      <c r="D573" s="4"/>
      <c r="I573" s="4"/>
    </row>
    <row r="574">
      <c r="D574" s="4"/>
      <c r="I574" s="4"/>
    </row>
    <row r="575">
      <c r="D575" s="4"/>
      <c r="I575" s="4"/>
    </row>
    <row r="576">
      <c r="D576" s="4"/>
      <c r="I576" s="4"/>
    </row>
    <row r="577">
      <c r="D577" s="4"/>
      <c r="I577" s="4"/>
    </row>
    <row r="578">
      <c r="D578" s="4"/>
      <c r="I578" s="4"/>
    </row>
    <row r="579">
      <c r="D579" s="4"/>
      <c r="I579" s="4"/>
    </row>
    <row r="580">
      <c r="D580" s="4"/>
      <c r="I580" s="4"/>
    </row>
    <row r="581">
      <c r="D581" s="4"/>
      <c r="I581" s="4"/>
    </row>
    <row r="582">
      <c r="D582" s="4"/>
      <c r="I582" s="4"/>
    </row>
    <row r="583">
      <c r="D583" s="4"/>
      <c r="I583" s="4"/>
    </row>
    <row r="584">
      <c r="D584" s="4"/>
      <c r="I584" s="4"/>
    </row>
    <row r="585">
      <c r="D585" s="4"/>
      <c r="I585" s="4"/>
    </row>
    <row r="586">
      <c r="D586" s="4"/>
      <c r="I586" s="4"/>
    </row>
    <row r="587">
      <c r="D587" s="4"/>
      <c r="I587" s="4"/>
    </row>
    <row r="588">
      <c r="D588" s="4"/>
      <c r="I588" s="4"/>
    </row>
    <row r="589">
      <c r="D589" s="4"/>
      <c r="I589" s="4"/>
    </row>
    <row r="590">
      <c r="D590" s="4"/>
      <c r="I590" s="4"/>
    </row>
    <row r="591">
      <c r="D591" s="4"/>
      <c r="I591" s="4"/>
    </row>
    <row r="592">
      <c r="D592" s="4"/>
      <c r="I592" s="4"/>
    </row>
    <row r="593">
      <c r="D593" s="4"/>
      <c r="I593" s="4"/>
    </row>
    <row r="594">
      <c r="D594" s="4"/>
      <c r="I594" s="4"/>
    </row>
    <row r="595">
      <c r="D595" s="4"/>
      <c r="I595" s="4"/>
    </row>
    <row r="596">
      <c r="D596" s="4"/>
      <c r="I596" s="4"/>
    </row>
    <row r="597">
      <c r="D597" s="4"/>
      <c r="I597" s="4"/>
    </row>
    <row r="598">
      <c r="D598" s="4"/>
      <c r="I598" s="4"/>
    </row>
    <row r="599">
      <c r="D599" s="4"/>
      <c r="I599" s="4"/>
    </row>
    <row r="600">
      <c r="D600" s="4"/>
      <c r="I600" s="4"/>
    </row>
    <row r="601">
      <c r="D601" s="4"/>
      <c r="I601" s="4"/>
    </row>
    <row r="602">
      <c r="D602" s="4"/>
      <c r="I602" s="4"/>
    </row>
    <row r="603">
      <c r="D603" s="4"/>
      <c r="I603" s="4"/>
    </row>
    <row r="604">
      <c r="D604" s="4"/>
      <c r="I604" s="4"/>
    </row>
    <row r="605">
      <c r="D605" s="4"/>
      <c r="I605" s="4"/>
    </row>
    <row r="606">
      <c r="D606" s="4"/>
      <c r="I606" s="4"/>
    </row>
    <row r="607">
      <c r="D607" s="4"/>
      <c r="I607" s="4"/>
    </row>
    <row r="608">
      <c r="D608" s="4"/>
      <c r="I608" s="4"/>
    </row>
    <row r="609">
      <c r="D609" s="4"/>
      <c r="I609" s="4"/>
    </row>
    <row r="610">
      <c r="D610" s="4"/>
      <c r="I610" s="4"/>
    </row>
    <row r="611">
      <c r="D611" s="4"/>
      <c r="I611" s="4"/>
    </row>
    <row r="612">
      <c r="D612" s="4"/>
      <c r="I612" s="4"/>
    </row>
    <row r="613">
      <c r="D613" s="4"/>
      <c r="I613" s="4"/>
    </row>
    <row r="614">
      <c r="D614" s="4"/>
      <c r="I614" s="4"/>
    </row>
    <row r="615">
      <c r="D615" s="4"/>
      <c r="I615" s="4"/>
    </row>
    <row r="616">
      <c r="D616" s="4"/>
      <c r="I616" s="4"/>
    </row>
    <row r="617">
      <c r="D617" s="4"/>
      <c r="I617" s="4"/>
    </row>
    <row r="618">
      <c r="D618" s="4"/>
      <c r="I618" s="4"/>
    </row>
    <row r="619">
      <c r="D619" s="4"/>
      <c r="I619" s="4"/>
    </row>
    <row r="620">
      <c r="D620" s="4"/>
      <c r="I620" s="4"/>
    </row>
    <row r="621">
      <c r="D621" s="4"/>
      <c r="I621" s="4"/>
    </row>
    <row r="622">
      <c r="D622" s="4"/>
      <c r="I622" s="4"/>
    </row>
    <row r="623">
      <c r="D623" s="4"/>
      <c r="I623" s="4"/>
    </row>
    <row r="624">
      <c r="D624" s="4"/>
      <c r="I624" s="4"/>
    </row>
    <row r="625">
      <c r="D625" s="4"/>
      <c r="I625" s="4"/>
    </row>
    <row r="626">
      <c r="D626" s="4"/>
      <c r="I626" s="4"/>
    </row>
    <row r="627">
      <c r="D627" s="4"/>
      <c r="I627" s="4"/>
    </row>
    <row r="628">
      <c r="D628" s="4"/>
      <c r="I628" s="4"/>
    </row>
    <row r="629">
      <c r="D629" s="4"/>
      <c r="I629" s="4"/>
    </row>
    <row r="630">
      <c r="D630" s="4"/>
      <c r="I630" s="4"/>
    </row>
    <row r="631">
      <c r="D631" s="4"/>
      <c r="I631" s="4"/>
    </row>
    <row r="632">
      <c r="D632" s="4"/>
      <c r="I632" s="4"/>
    </row>
    <row r="633">
      <c r="D633" s="4"/>
      <c r="I633" s="4"/>
    </row>
    <row r="634">
      <c r="D634" s="4"/>
      <c r="I634" s="4"/>
    </row>
    <row r="635">
      <c r="D635" s="4"/>
      <c r="I635" s="4"/>
    </row>
    <row r="636">
      <c r="D636" s="4"/>
      <c r="I636" s="4"/>
    </row>
    <row r="637">
      <c r="D637" s="4"/>
      <c r="I637" s="4"/>
    </row>
    <row r="638">
      <c r="D638" s="4"/>
      <c r="I638" s="4"/>
    </row>
    <row r="639">
      <c r="D639" s="4"/>
      <c r="I639" s="4"/>
    </row>
    <row r="640">
      <c r="D640" s="4"/>
      <c r="I640" s="4"/>
    </row>
    <row r="641">
      <c r="D641" s="4"/>
      <c r="I641" s="4"/>
    </row>
    <row r="642">
      <c r="D642" s="4"/>
      <c r="I642" s="4"/>
    </row>
    <row r="643">
      <c r="D643" s="4"/>
      <c r="I643" s="4"/>
    </row>
    <row r="644">
      <c r="D644" s="4"/>
      <c r="I644" s="4"/>
    </row>
    <row r="645">
      <c r="D645" s="4"/>
      <c r="I645" s="4"/>
    </row>
    <row r="646">
      <c r="D646" s="4"/>
      <c r="I646" s="4"/>
    </row>
    <row r="647">
      <c r="D647" s="4"/>
      <c r="I647" s="4"/>
    </row>
    <row r="648">
      <c r="D648" s="4"/>
      <c r="I648" s="4"/>
    </row>
    <row r="649">
      <c r="D649" s="4"/>
      <c r="I649" s="4"/>
    </row>
    <row r="650">
      <c r="D650" s="4"/>
      <c r="I650" s="4"/>
    </row>
    <row r="651">
      <c r="D651" s="4"/>
      <c r="I651" s="4"/>
    </row>
    <row r="652">
      <c r="D652" s="4"/>
      <c r="I652" s="4"/>
    </row>
    <row r="653">
      <c r="D653" s="4"/>
      <c r="I653" s="4"/>
    </row>
    <row r="654">
      <c r="D654" s="4"/>
      <c r="I654" s="4"/>
    </row>
    <row r="655">
      <c r="D655" s="4"/>
      <c r="I655" s="4"/>
    </row>
    <row r="656">
      <c r="D656" s="4"/>
      <c r="I656" s="4"/>
    </row>
    <row r="657">
      <c r="D657" s="4"/>
      <c r="I657" s="4"/>
    </row>
    <row r="658">
      <c r="D658" s="4"/>
      <c r="I658" s="4"/>
    </row>
    <row r="659">
      <c r="D659" s="4"/>
      <c r="I659" s="4"/>
    </row>
    <row r="660">
      <c r="D660" s="4"/>
      <c r="I660" s="4"/>
    </row>
    <row r="661">
      <c r="D661" s="4"/>
      <c r="I661" s="4"/>
    </row>
    <row r="662">
      <c r="D662" s="4"/>
      <c r="I662" s="4"/>
    </row>
    <row r="663">
      <c r="D663" s="4"/>
      <c r="I663" s="4"/>
    </row>
    <row r="664">
      <c r="D664" s="4"/>
      <c r="I664" s="4"/>
    </row>
    <row r="665">
      <c r="D665" s="4"/>
      <c r="I665" s="4"/>
    </row>
    <row r="666">
      <c r="D666" s="4"/>
      <c r="I666" s="4"/>
    </row>
    <row r="667">
      <c r="D667" s="4"/>
      <c r="I667" s="4"/>
    </row>
    <row r="668">
      <c r="D668" s="4"/>
      <c r="I668" s="4"/>
    </row>
    <row r="669">
      <c r="D669" s="4"/>
      <c r="I669" s="4"/>
    </row>
    <row r="670">
      <c r="D670" s="4"/>
      <c r="I670" s="4"/>
    </row>
    <row r="671">
      <c r="D671" s="4"/>
      <c r="I671" s="4"/>
    </row>
    <row r="672">
      <c r="D672" s="4"/>
      <c r="I672" s="4"/>
    </row>
    <row r="673">
      <c r="D673" s="4"/>
      <c r="I673" s="4"/>
    </row>
    <row r="674">
      <c r="D674" s="4"/>
      <c r="I674" s="4"/>
    </row>
    <row r="675">
      <c r="D675" s="4"/>
      <c r="I675" s="4"/>
    </row>
    <row r="676">
      <c r="D676" s="4"/>
      <c r="I676" s="4"/>
    </row>
    <row r="677">
      <c r="D677" s="4"/>
      <c r="I677" s="4"/>
    </row>
    <row r="678">
      <c r="D678" s="4"/>
      <c r="I678" s="4"/>
    </row>
    <row r="679">
      <c r="D679" s="4"/>
      <c r="I679" s="4"/>
    </row>
    <row r="680">
      <c r="D680" s="4"/>
      <c r="I680" s="4"/>
    </row>
    <row r="681">
      <c r="D681" s="4"/>
      <c r="I681" s="4"/>
    </row>
    <row r="682">
      <c r="D682" s="4"/>
      <c r="I682" s="4"/>
    </row>
    <row r="683">
      <c r="D683" s="4"/>
      <c r="I683" s="4"/>
    </row>
    <row r="684">
      <c r="D684" s="4"/>
      <c r="I684" s="4"/>
    </row>
    <row r="685">
      <c r="D685" s="4"/>
      <c r="I685" s="4"/>
    </row>
    <row r="686">
      <c r="D686" s="4"/>
      <c r="I686" s="4"/>
    </row>
    <row r="687">
      <c r="D687" s="4"/>
      <c r="I687" s="4"/>
    </row>
    <row r="688">
      <c r="D688" s="4"/>
      <c r="I688" s="4"/>
    </row>
    <row r="689">
      <c r="D689" s="4"/>
      <c r="I689" s="4"/>
    </row>
    <row r="690">
      <c r="D690" s="4"/>
      <c r="I690" s="4"/>
    </row>
    <row r="691">
      <c r="D691" s="4"/>
      <c r="I691" s="4"/>
    </row>
    <row r="692">
      <c r="D692" s="4"/>
      <c r="I692" s="4"/>
    </row>
    <row r="693">
      <c r="D693" s="4"/>
      <c r="I693" s="4"/>
    </row>
    <row r="694">
      <c r="D694" s="4"/>
      <c r="I694" s="4"/>
    </row>
    <row r="695">
      <c r="D695" s="4"/>
      <c r="I695" s="4"/>
    </row>
    <row r="696">
      <c r="D696" s="4"/>
      <c r="I696" s="4"/>
    </row>
    <row r="697">
      <c r="D697" s="4"/>
      <c r="I697" s="4"/>
    </row>
    <row r="698">
      <c r="D698" s="4"/>
      <c r="I698" s="4"/>
    </row>
    <row r="699">
      <c r="D699" s="4"/>
      <c r="I699" s="4"/>
    </row>
    <row r="700">
      <c r="D700" s="4"/>
      <c r="I700" s="4"/>
    </row>
    <row r="701">
      <c r="D701" s="4"/>
      <c r="I701" s="4"/>
    </row>
    <row r="702">
      <c r="D702" s="4"/>
      <c r="I702" s="4"/>
    </row>
    <row r="703">
      <c r="D703" s="4"/>
      <c r="I703" s="4"/>
    </row>
    <row r="704">
      <c r="D704" s="4"/>
      <c r="I704" s="4"/>
    </row>
    <row r="705">
      <c r="D705" s="4"/>
      <c r="I705" s="4"/>
    </row>
    <row r="706">
      <c r="D706" s="4"/>
      <c r="I706" s="4"/>
    </row>
    <row r="707">
      <c r="D707" s="4"/>
      <c r="I707" s="4"/>
    </row>
    <row r="708">
      <c r="D708" s="4"/>
      <c r="I708" s="4"/>
    </row>
    <row r="709">
      <c r="D709" s="4"/>
      <c r="I709" s="4"/>
    </row>
    <row r="710">
      <c r="D710" s="4"/>
      <c r="I710" s="4"/>
    </row>
    <row r="711">
      <c r="D711" s="4"/>
      <c r="I711" s="4"/>
    </row>
    <row r="712">
      <c r="D712" s="4"/>
      <c r="I712" s="4"/>
    </row>
    <row r="713">
      <c r="D713" s="4"/>
      <c r="I713" s="4"/>
    </row>
    <row r="714">
      <c r="D714" s="4"/>
      <c r="I714" s="4"/>
    </row>
    <row r="715">
      <c r="D715" s="4"/>
      <c r="I715" s="4"/>
    </row>
    <row r="716">
      <c r="D716" s="4"/>
      <c r="I716" s="4"/>
    </row>
    <row r="717">
      <c r="D717" s="4"/>
      <c r="I717" s="4"/>
    </row>
    <row r="718">
      <c r="D718" s="4"/>
      <c r="I718" s="4"/>
    </row>
    <row r="719">
      <c r="D719" s="4"/>
      <c r="I719" s="4"/>
    </row>
    <row r="720">
      <c r="D720" s="4"/>
      <c r="I720" s="4"/>
    </row>
    <row r="721">
      <c r="D721" s="4"/>
      <c r="I721" s="4"/>
    </row>
    <row r="722">
      <c r="D722" s="4"/>
      <c r="I722" s="4"/>
    </row>
    <row r="723">
      <c r="D723" s="4"/>
      <c r="I723" s="4"/>
    </row>
    <row r="724">
      <c r="D724" s="4"/>
      <c r="I724" s="4"/>
    </row>
    <row r="725">
      <c r="D725" s="4"/>
      <c r="I725" s="4"/>
    </row>
    <row r="726">
      <c r="D726" s="4"/>
      <c r="I726" s="4"/>
    </row>
    <row r="727">
      <c r="D727" s="4"/>
      <c r="I727" s="4"/>
    </row>
    <row r="728">
      <c r="D728" s="4"/>
      <c r="I728" s="4"/>
    </row>
    <row r="729">
      <c r="D729" s="4"/>
      <c r="I729" s="4"/>
    </row>
    <row r="730">
      <c r="D730" s="4"/>
      <c r="I730" s="4"/>
    </row>
    <row r="731">
      <c r="D731" s="4"/>
      <c r="I731" s="4"/>
    </row>
    <row r="732">
      <c r="D732" s="4"/>
      <c r="I732" s="4"/>
    </row>
    <row r="733">
      <c r="D733" s="4"/>
      <c r="I733" s="4"/>
    </row>
    <row r="734">
      <c r="D734" s="4"/>
      <c r="I734" s="4"/>
    </row>
    <row r="735">
      <c r="D735" s="4"/>
      <c r="I735" s="4"/>
    </row>
    <row r="736">
      <c r="D736" s="4"/>
      <c r="I736" s="4"/>
    </row>
    <row r="737">
      <c r="D737" s="4"/>
      <c r="I737" s="4"/>
    </row>
    <row r="738">
      <c r="D738" s="4"/>
      <c r="I738" s="4"/>
    </row>
    <row r="739">
      <c r="D739" s="4"/>
      <c r="I739" s="4"/>
    </row>
    <row r="740">
      <c r="D740" s="4"/>
      <c r="I740" s="4"/>
    </row>
    <row r="741">
      <c r="D741" s="4"/>
      <c r="I741" s="4"/>
    </row>
    <row r="742">
      <c r="D742" s="4"/>
      <c r="I742" s="4"/>
    </row>
    <row r="743">
      <c r="D743" s="4"/>
      <c r="I743" s="4"/>
    </row>
    <row r="744">
      <c r="D744" s="4"/>
      <c r="I744" s="4"/>
    </row>
    <row r="745">
      <c r="D745" s="4"/>
      <c r="I745" s="4"/>
    </row>
    <row r="746">
      <c r="D746" s="4"/>
      <c r="I746" s="4"/>
    </row>
    <row r="747">
      <c r="D747" s="4"/>
      <c r="I747" s="4"/>
    </row>
    <row r="748">
      <c r="D748" s="4"/>
      <c r="I748" s="4"/>
    </row>
    <row r="749">
      <c r="D749" s="4"/>
      <c r="I749" s="4"/>
    </row>
    <row r="750">
      <c r="D750" s="4"/>
      <c r="I750" s="4"/>
    </row>
    <row r="751">
      <c r="D751" s="4"/>
      <c r="I751" s="4"/>
    </row>
    <row r="752">
      <c r="D752" s="4"/>
      <c r="I752" s="4"/>
    </row>
    <row r="753">
      <c r="D753" s="4"/>
      <c r="I753" s="4"/>
    </row>
    <row r="754">
      <c r="D754" s="4"/>
      <c r="I754" s="4"/>
    </row>
    <row r="755">
      <c r="D755" s="4"/>
      <c r="I755" s="4"/>
    </row>
    <row r="756">
      <c r="D756" s="4"/>
      <c r="I756" s="4"/>
    </row>
    <row r="757">
      <c r="D757" s="4"/>
      <c r="I757" s="4"/>
    </row>
    <row r="758">
      <c r="D758" s="4"/>
      <c r="I758" s="4"/>
    </row>
    <row r="759">
      <c r="D759" s="4"/>
      <c r="I759" s="4"/>
    </row>
    <row r="760">
      <c r="D760" s="4"/>
      <c r="I760" s="4"/>
    </row>
    <row r="761">
      <c r="D761" s="4"/>
      <c r="I761" s="4"/>
    </row>
    <row r="762">
      <c r="D762" s="4"/>
      <c r="I762" s="4"/>
    </row>
    <row r="763">
      <c r="D763" s="4"/>
      <c r="I763" s="4"/>
    </row>
    <row r="764">
      <c r="D764" s="4"/>
      <c r="I764" s="4"/>
    </row>
    <row r="765">
      <c r="D765" s="4"/>
      <c r="I765" s="4"/>
    </row>
    <row r="766">
      <c r="D766" s="4"/>
      <c r="I766" s="4"/>
    </row>
    <row r="767">
      <c r="D767" s="4"/>
      <c r="I767" s="4"/>
    </row>
    <row r="768">
      <c r="D768" s="4"/>
      <c r="I768" s="4"/>
    </row>
    <row r="769">
      <c r="D769" s="4"/>
      <c r="I769" s="4"/>
    </row>
    <row r="770">
      <c r="D770" s="4"/>
      <c r="I770" s="4"/>
    </row>
    <row r="771">
      <c r="D771" s="4"/>
      <c r="I771" s="4"/>
    </row>
    <row r="772">
      <c r="D772" s="4"/>
      <c r="I772" s="4"/>
    </row>
    <row r="773">
      <c r="D773" s="4"/>
      <c r="I773" s="4"/>
    </row>
    <row r="774">
      <c r="D774" s="4"/>
      <c r="I774" s="4"/>
    </row>
    <row r="775">
      <c r="D775" s="4"/>
      <c r="I775" s="4"/>
    </row>
    <row r="776">
      <c r="D776" s="4"/>
      <c r="I776" s="4"/>
    </row>
    <row r="777">
      <c r="D777" s="4"/>
      <c r="I777" s="4"/>
    </row>
    <row r="778">
      <c r="D778" s="4"/>
      <c r="I778" s="4"/>
    </row>
    <row r="779">
      <c r="D779" s="4"/>
      <c r="I779" s="4"/>
    </row>
    <row r="780">
      <c r="D780" s="4"/>
      <c r="I780" s="4"/>
    </row>
    <row r="781">
      <c r="D781" s="4"/>
      <c r="I781" s="4"/>
    </row>
    <row r="782">
      <c r="D782" s="4"/>
      <c r="I782" s="4"/>
    </row>
    <row r="783">
      <c r="D783" s="4"/>
      <c r="I783" s="4"/>
    </row>
    <row r="784">
      <c r="D784" s="4"/>
      <c r="I784" s="4"/>
    </row>
    <row r="785">
      <c r="D785" s="4"/>
      <c r="I785" s="4"/>
    </row>
    <row r="786">
      <c r="D786" s="4"/>
      <c r="I786" s="4"/>
    </row>
    <row r="787">
      <c r="D787" s="4"/>
      <c r="I787" s="4"/>
    </row>
    <row r="788">
      <c r="D788" s="4"/>
      <c r="I788" s="4"/>
    </row>
    <row r="789">
      <c r="D789" s="4"/>
      <c r="I789" s="4"/>
    </row>
    <row r="790">
      <c r="D790" s="4"/>
      <c r="I790" s="4"/>
    </row>
    <row r="791">
      <c r="D791" s="4"/>
      <c r="I791" s="4"/>
    </row>
    <row r="792">
      <c r="D792" s="4"/>
      <c r="I792" s="4"/>
    </row>
    <row r="793">
      <c r="D793" s="4"/>
      <c r="I793" s="4"/>
    </row>
    <row r="794">
      <c r="D794" s="4"/>
      <c r="I794" s="4"/>
    </row>
    <row r="795">
      <c r="D795" s="4"/>
      <c r="I795" s="4"/>
    </row>
    <row r="796">
      <c r="D796" s="4"/>
      <c r="I796" s="4"/>
    </row>
    <row r="797">
      <c r="D797" s="4"/>
      <c r="I797" s="4"/>
    </row>
    <row r="798">
      <c r="D798" s="4"/>
      <c r="I798" s="4"/>
    </row>
    <row r="799">
      <c r="D799" s="4"/>
      <c r="I799" s="4"/>
    </row>
    <row r="800">
      <c r="D800" s="4"/>
      <c r="I800" s="4"/>
    </row>
    <row r="801">
      <c r="D801" s="4"/>
      <c r="I801" s="4"/>
    </row>
    <row r="802">
      <c r="D802" s="4"/>
      <c r="I802" s="4"/>
    </row>
    <row r="803">
      <c r="D803" s="4"/>
      <c r="I803" s="4"/>
    </row>
    <row r="804">
      <c r="D804" s="4"/>
      <c r="I804" s="4"/>
    </row>
    <row r="805">
      <c r="D805" s="4"/>
      <c r="I805" s="4"/>
    </row>
    <row r="806">
      <c r="D806" s="4"/>
      <c r="I806" s="4"/>
    </row>
    <row r="807">
      <c r="D807" s="4"/>
      <c r="I807" s="4"/>
    </row>
    <row r="808">
      <c r="D808" s="4"/>
      <c r="I808" s="4"/>
    </row>
    <row r="809">
      <c r="D809" s="4"/>
      <c r="I809" s="4"/>
    </row>
    <row r="810">
      <c r="D810" s="4"/>
      <c r="I810" s="4"/>
    </row>
    <row r="811">
      <c r="D811" s="4"/>
      <c r="I811" s="4"/>
    </row>
    <row r="812">
      <c r="D812" s="4"/>
      <c r="I812" s="4"/>
    </row>
    <row r="813">
      <c r="D813" s="4"/>
      <c r="I813" s="4"/>
    </row>
    <row r="814">
      <c r="D814" s="4"/>
      <c r="I814" s="4"/>
    </row>
    <row r="815">
      <c r="D815" s="4"/>
      <c r="I815" s="4"/>
    </row>
    <row r="816">
      <c r="D816" s="4"/>
      <c r="I816" s="4"/>
    </row>
    <row r="817">
      <c r="D817" s="4"/>
      <c r="I817" s="4"/>
    </row>
    <row r="818">
      <c r="D818" s="4"/>
      <c r="I818" s="4"/>
    </row>
    <row r="819">
      <c r="D819" s="4"/>
      <c r="I819" s="4"/>
    </row>
    <row r="820">
      <c r="D820" s="4"/>
      <c r="I820" s="4"/>
    </row>
    <row r="821">
      <c r="D821" s="4"/>
      <c r="I821" s="4"/>
    </row>
    <row r="822">
      <c r="D822" s="4"/>
      <c r="I822" s="4"/>
    </row>
    <row r="823">
      <c r="D823" s="4"/>
      <c r="I823" s="4"/>
    </row>
    <row r="824">
      <c r="D824" s="4"/>
      <c r="I824" s="4"/>
    </row>
    <row r="825">
      <c r="D825" s="4"/>
      <c r="I825" s="4"/>
    </row>
    <row r="826">
      <c r="D826" s="4"/>
      <c r="I826" s="4"/>
    </row>
    <row r="827">
      <c r="D827" s="4"/>
      <c r="I827" s="4"/>
    </row>
    <row r="828">
      <c r="D828" s="4"/>
      <c r="I828" s="4"/>
    </row>
    <row r="829">
      <c r="D829" s="4"/>
      <c r="I829" s="4"/>
    </row>
    <row r="830">
      <c r="D830" s="4"/>
      <c r="I830" s="4"/>
    </row>
    <row r="831">
      <c r="D831" s="4"/>
      <c r="I831" s="4"/>
    </row>
    <row r="832">
      <c r="D832" s="4"/>
      <c r="I832" s="4"/>
    </row>
    <row r="833">
      <c r="D833" s="4"/>
      <c r="I833" s="4"/>
    </row>
    <row r="834">
      <c r="D834" s="4"/>
      <c r="I834" s="4"/>
    </row>
    <row r="835">
      <c r="D835" s="4"/>
      <c r="I835" s="4"/>
    </row>
    <row r="836">
      <c r="D836" s="4"/>
      <c r="I836" s="4"/>
    </row>
    <row r="837">
      <c r="D837" s="4"/>
      <c r="I837" s="4"/>
    </row>
    <row r="838">
      <c r="D838" s="4"/>
      <c r="I838" s="4"/>
    </row>
    <row r="839">
      <c r="D839" s="4"/>
      <c r="I839" s="4"/>
    </row>
    <row r="840">
      <c r="D840" s="4"/>
      <c r="I840" s="4"/>
    </row>
    <row r="841">
      <c r="D841" s="4"/>
      <c r="I841" s="4"/>
    </row>
    <row r="842">
      <c r="D842" s="4"/>
      <c r="I842" s="4"/>
    </row>
    <row r="843">
      <c r="D843" s="4"/>
      <c r="I843" s="4"/>
    </row>
    <row r="844">
      <c r="D844" s="4"/>
      <c r="I844" s="4"/>
    </row>
    <row r="845">
      <c r="D845" s="4"/>
      <c r="I845" s="4"/>
    </row>
    <row r="846">
      <c r="D846" s="4"/>
      <c r="I846" s="4"/>
    </row>
    <row r="847">
      <c r="D847" s="4"/>
      <c r="I847" s="4"/>
    </row>
    <row r="848">
      <c r="D848" s="4"/>
      <c r="I848" s="4"/>
    </row>
    <row r="849">
      <c r="D849" s="4"/>
      <c r="I849" s="4"/>
    </row>
    <row r="850">
      <c r="D850" s="4"/>
      <c r="I850" s="4"/>
    </row>
    <row r="851">
      <c r="D851" s="4"/>
      <c r="I851" s="4"/>
    </row>
    <row r="852">
      <c r="D852" s="4"/>
      <c r="I852" s="4"/>
    </row>
    <row r="853">
      <c r="D853" s="4"/>
      <c r="I853" s="4"/>
    </row>
    <row r="854">
      <c r="D854" s="4"/>
      <c r="I854" s="4"/>
    </row>
    <row r="855">
      <c r="D855" s="4"/>
      <c r="I855" s="4"/>
    </row>
    <row r="856">
      <c r="D856" s="4"/>
      <c r="I856" s="4"/>
    </row>
    <row r="857">
      <c r="D857" s="4"/>
      <c r="I857" s="4"/>
    </row>
    <row r="858">
      <c r="D858" s="4"/>
      <c r="I858" s="4"/>
    </row>
    <row r="859">
      <c r="D859" s="4"/>
      <c r="I859" s="4"/>
    </row>
    <row r="860">
      <c r="D860" s="4"/>
      <c r="I860" s="4"/>
    </row>
    <row r="861">
      <c r="D861" s="4"/>
      <c r="I861" s="4"/>
    </row>
    <row r="862">
      <c r="D862" s="4"/>
      <c r="I862" s="4"/>
    </row>
    <row r="863">
      <c r="D863" s="4"/>
      <c r="I863" s="4"/>
    </row>
    <row r="864">
      <c r="D864" s="4"/>
      <c r="I864" s="4"/>
    </row>
    <row r="865">
      <c r="D865" s="4"/>
      <c r="I865" s="4"/>
    </row>
    <row r="866">
      <c r="D866" s="4"/>
      <c r="I866" s="4"/>
    </row>
    <row r="867">
      <c r="D867" s="4"/>
      <c r="I867" s="4"/>
    </row>
    <row r="868">
      <c r="D868" s="4"/>
      <c r="I868" s="4"/>
    </row>
    <row r="869">
      <c r="D869" s="4"/>
      <c r="I869" s="4"/>
    </row>
    <row r="870">
      <c r="D870" s="4"/>
      <c r="I870" s="4"/>
    </row>
    <row r="871">
      <c r="D871" s="4"/>
      <c r="I871" s="4"/>
    </row>
    <row r="872">
      <c r="D872" s="4"/>
      <c r="I872" s="4"/>
    </row>
    <row r="873">
      <c r="D873" s="4"/>
      <c r="I873" s="4"/>
    </row>
    <row r="874">
      <c r="D874" s="4"/>
      <c r="I874" s="4"/>
    </row>
    <row r="875">
      <c r="D875" s="4"/>
      <c r="I875" s="4"/>
    </row>
    <row r="876">
      <c r="D876" s="4"/>
      <c r="I876" s="4"/>
    </row>
    <row r="877">
      <c r="D877" s="4"/>
      <c r="I877" s="4"/>
    </row>
    <row r="878">
      <c r="D878" s="4"/>
      <c r="I878" s="4"/>
    </row>
    <row r="879">
      <c r="D879" s="4"/>
      <c r="I879" s="4"/>
    </row>
    <row r="880">
      <c r="D880" s="4"/>
      <c r="I880" s="4"/>
    </row>
    <row r="881">
      <c r="D881" s="4"/>
      <c r="I881" s="4"/>
    </row>
    <row r="882">
      <c r="D882" s="4"/>
      <c r="I882" s="4"/>
    </row>
    <row r="883">
      <c r="D883" s="4"/>
      <c r="I883" s="4"/>
    </row>
    <row r="884">
      <c r="D884" s="4"/>
      <c r="I884" s="4"/>
    </row>
    <row r="885">
      <c r="D885" s="4"/>
      <c r="I885" s="4"/>
    </row>
    <row r="886">
      <c r="D886" s="4"/>
      <c r="I886" s="4"/>
    </row>
    <row r="887">
      <c r="D887" s="4"/>
      <c r="I887" s="4"/>
    </row>
    <row r="888">
      <c r="D888" s="4"/>
      <c r="I888" s="4"/>
    </row>
    <row r="889">
      <c r="D889" s="4"/>
      <c r="I889" s="4"/>
    </row>
    <row r="890">
      <c r="D890" s="4"/>
      <c r="I890" s="4"/>
    </row>
    <row r="891">
      <c r="D891" s="4"/>
      <c r="I891" s="4"/>
    </row>
    <row r="892">
      <c r="D892" s="4"/>
      <c r="I892" s="4"/>
    </row>
    <row r="893">
      <c r="D893" s="4"/>
      <c r="I893" s="4"/>
    </row>
    <row r="894">
      <c r="D894" s="4"/>
      <c r="I894" s="4"/>
    </row>
    <row r="895">
      <c r="D895" s="4"/>
      <c r="I895" s="4"/>
    </row>
    <row r="896">
      <c r="D896" s="4"/>
      <c r="I896" s="4"/>
    </row>
    <row r="897">
      <c r="D897" s="4"/>
      <c r="I897" s="4"/>
    </row>
    <row r="898">
      <c r="D898" s="4"/>
      <c r="I898" s="4"/>
    </row>
    <row r="899">
      <c r="D899" s="4"/>
      <c r="I899" s="4"/>
    </row>
    <row r="900">
      <c r="D900" s="4"/>
      <c r="I900" s="4"/>
    </row>
    <row r="901">
      <c r="D901" s="4"/>
      <c r="I901" s="4"/>
    </row>
    <row r="902">
      <c r="D902" s="4"/>
      <c r="I902" s="4"/>
    </row>
    <row r="903">
      <c r="D903" s="4"/>
      <c r="I903" s="4"/>
    </row>
    <row r="904">
      <c r="D904" s="4"/>
      <c r="I904" s="4"/>
    </row>
    <row r="905">
      <c r="D905" s="4"/>
      <c r="I905" s="4"/>
    </row>
    <row r="906">
      <c r="D906" s="4"/>
      <c r="I906" s="4"/>
    </row>
    <row r="907">
      <c r="D907" s="4"/>
      <c r="I907" s="4"/>
    </row>
    <row r="908">
      <c r="D908" s="4"/>
      <c r="I908" s="4"/>
    </row>
    <row r="909">
      <c r="D909" s="4"/>
      <c r="I909" s="4"/>
    </row>
    <row r="910">
      <c r="D910" s="4"/>
      <c r="I910" s="4"/>
    </row>
    <row r="911">
      <c r="D911" s="4"/>
      <c r="I911" s="4"/>
    </row>
    <row r="912">
      <c r="D912" s="4"/>
      <c r="I912" s="4"/>
    </row>
    <row r="913">
      <c r="D913" s="4"/>
      <c r="I913" s="4"/>
    </row>
    <row r="914">
      <c r="D914" s="4"/>
      <c r="I914" s="4"/>
    </row>
    <row r="915">
      <c r="D915" s="4"/>
      <c r="I915" s="4"/>
    </row>
    <row r="916">
      <c r="D916" s="4"/>
      <c r="I916" s="4"/>
    </row>
    <row r="917">
      <c r="D917" s="4"/>
      <c r="I917" s="4"/>
    </row>
    <row r="918">
      <c r="D918" s="4"/>
      <c r="I918" s="4"/>
    </row>
    <row r="919">
      <c r="D919" s="4"/>
      <c r="I919" s="4"/>
    </row>
    <row r="920">
      <c r="D920" s="4"/>
      <c r="I920" s="4"/>
    </row>
    <row r="921">
      <c r="D921" s="4"/>
      <c r="I921" s="4"/>
    </row>
    <row r="922">
      <c r="D922" s="4"/>
      <c r="I922" s="4"/>
    </row>
    <row r="923">
      <c r="D923" s="4"/>
      <c r="I923" s="4"/>
    </row>
    <row r="924">
      <c r="D924" s="4"/>
      <c r="I924" s="4"/>
    </row>
    <row r="925">
      <c r="D925" s="4"/>
      <c r="I925" s="4"/>
    </row>
    <row r="926">
      <c r="D926" s="4"/>
      <c r="I926" s="4"/>
    </row>
    <row r="927">
      <c r="D927" s="4"/>
      <c r="I927" s="4"/>
    </row>
    <row r="928">
      <c r="D928" s="4"/>
      <c r="I928" s="4"/>
    </row>
    <row r="929">
      <c r="D929" s="4"/>
      <c r="I929" s="4"/>
    </row>
    <row r="930">
      <c r="D930" s="4"/>
      <c r="I930" s="4"/>
    </row>
    <row r="931">
      <c r="D931" s="4"/>
      <c r="I931" s="4"/>
    </row>
    <row r="932">
      <c r="D932" s="4"/>
      <c r="I932" s="4"/>
    </row>
    <row r="933">
      <c r="D933" s="4"/>
      <c r="I933" s="4"/>
    </row>
    <row r="934">
      <c r="D934" s="4"/>
      <c r="I934" s="4"/>
    </row>
    <row r="935">
      <c r="D935" s="4"/>
      <c r="I935" s="4"/>
    </row>
    <row r="936">
      <c r="D936" s="4"/>
      <c r="I936" s="4"/>
    </row>
    <row r="937">
      <c r="D937" s="4"/>
      <c r="I937" s="4"/>
    </row>
    <row r="938">
      <c r="D938" s="4"/>
      <c r="I938" s="4"/>
    </row>
    <row r="939">
      <c r="D939" s="4"/>
      <c r="I939" s="4"/>
    </row>
    <row r="940">
      <c r="D940" s="4"/>
      <c r="I940" s="4"/>
    </row>
    <row r="941">
      <c r="D941" s="4"/>
      <c r="I941" s="4"/>
    </row>
    <row r="942">
      <c r="D942" s="4"/>
      <c r="I942" s="4"/>
    </row>
    <row r="943">
      <c r="D943" s="4"/>
      <c r="I943" s="4"/>
    </row>
    <row r="944">
      <c r="D944" s="4"/>
      <c r="I944" s="4"/>
    </row>
    <row r="945">
      <c r="D945" s="4"/>
      <c r="I945" s="4"/>
    </row>
    <row r="946">
      <c r="D946" s="4"/>
      <c r="I946" s="4"/>
    </row>
    <row r="947">
      <c r="D947" s="4"/>
      <c r="I947" s="4"/>
    </row>
    <row r="948">
      <c r="D948" s="4"/>
      <c r="I948" s="4"/>
    </row>
    <row r="949">
      <c r="D949" s="4"/>
      <c r="I949" s="4"/>
    </row>
    <row r="950">
      <c r="D950" s="4"/>
      <c r="I950" s="4"/>
    </row>
    <row r="951">
      <c r="D951" s="4"/>
      <c r="I951" s="4"/>
    </row>
    <row r="952">
      <c r="D952" s="4"/>
      <c r="I952" s="4"/>
    </row>
    <row r="953">
      <c r="D953" s="4"/>
      <c r="I953" s="4"/>
    </row>
    <row r="954">
      <c r="D954" s="4"/>
      <c r="I954" s="4"/>
    </row>
    <row r="955">
      <c r="D955" s="4"/>
      <c r="I955" s="4"/>
    </row>
    <row r="956">
      <c r="D956" s="4"/>
      <c r="I956" s="4"/>
    </row>
    <row r="957">
      <c r="D957" s="4"/>
      <c r="I957" s="4"/>
    </row>
    <row r="958">
      <c r="D958" s="4"/>
      <c r="I958" s="4"/>
    </row>
    <row r="959">
      <c r="D959" s="4"/>
      <c r="I959" s="4"/>
    </row>
    <row r="960">
      <c r="D960" s="4"/>
      <c r="I960" s="4"/>
    </row>
    <row r="961">
      <c r="D961" s="4"/>
      <c r="I961" s="4"/>
    </row>
    <row r="962">
      <c r="D962" s="4"/>
      <c r="I962" s="4"/>
    </row>
    <row r="963">
      <c r="D963" s="4"/>
      <c r="I963" s="4"/>
    </row>
    <row r="964">
      <c r="D964" s="4"/>
      <c r="I964" s="4"/>
    </row>
    <row r="965">
      <c r="D965" s="4"/>
      <c r="I965" s="4"/>
    </row>
    <row r="966">
      <c r="D966" s="4"/>
      <c r="I966" s="4"/>
    </row>
    <row r="967">
      <c r="D967" s="4"/>
      <c r="I967" s="4"/>
    </row>
    <row r="968">
      <c r="D968" s="4"/>
      <c r="I968" s="4"/>
    </row>
    <row r="969">
      <c r="D969" s="4"/>
      <c r="I969" s="4"/>
    </row>
    <row r="970">
      <c r="D970" s="4"/>
      <c r="I970" s="4"/>
    </row>
    <row r="971">
      <c r="D971" s="4"/>
      <c r="I971" s="4"/>
    </row>
    <row r="972">
      <c r="D972" s="4"/>
      <c r="I972" s="4"/>
    </row>
    <row r="973">
      <c r="D973" s="4"/>
      <c r="I973" s="4"/>
    </row>
    <row r="974">
      <c r="D974" s="4"/>
      <c r="I974" s="4"/>
    </row>
    <row r="975">
      <c r="D975" s="4"/>
      <c r="I975" s="4"/>
    </row>
    <row r="976">
      <c r="D976" s="4"/>
      <c r="I976" s="4"/>
    </row>
    <row r="977">
      <c r="D977" s="4"/>
      <c r="I977" s="4"/>
    </row>
    <row r="978">
      <c r="D978" s="4"/>
      <c r="I978" s="4"/>
    </row>
    <row r="979">
      <c r="D979" s="4"/>
      <c r="I979" s="4"/>
    </row>
    <row r="980">
      <c r="D980" s="4"/>
      <c r="I980" s="4"/>
    </row>
    <row r="981">
      <c r="D981" s="4"/>
      <c r="I981" s="4"/>
    </row>
    <row r="982">
      <c r="D982" s="4"/>
      <c r="I982" s="4"/>
    </row>
    <row r="983">
      <c r="D983" s="4"/>
      <c r="I983" s="4"/>
    </row>
    <row r="984">
      <c r="D984" s="4"/>
      <c r="I984" s="4"/>
    </row>
    <row r="985">
      <c r="D985" s="4"/>
      <c r="I985" s="4"/>
    </row>
    <row r="986">
      <c r="D986" s="4"/>
      <c r="I986" s="4"/>
    </row>
    <row r="987">
      <c r="D987" s="4"/>
      <c r="I987" s="4"/>
    </row>
    <row r="988">
      <c r="D988" s="4"/>
      <c r="I988" s="4"/>
    </row>
    <row r="989">
      <c r="D989" s="4"/>
      <c r="I989" s="4"/>
    </row>
    <row r="990">
      <c r="D990" s="4"/>
      <c r="I990" s="4"/>
    </row>
    <row r="991">
      <c r="D991" s="4"/>
      <c r="I991" s="4"/>
    </row>
    <row r="992">
      <c r="D992" s="4"/>
      <c r="I992" s="4"/>
    </row>
    <row r="993">
      <c r="D993" s="4"/>
      <c r="I993" s="4"/>
    </row>
    <row r="994">
      <c r="D994" s="4"/>
      <c r="I994" s="4"/>
    </row>
    <row r="995">
      <c r="D995" s="4"/>
      <c r="I995" s="4"/>
    </row>
    <row r="996">
      <c r="D996" s="4"/>
      <c r="I996" s="4"/>
    </row>
    <row r="997">
      <c r="D997" s="4"/>
      <c r="I997" s="4"/>
    </row>
    <row r="998">
      <c r="D998" s="4"/>
      <c r="I998" s="4"/>
    </row>
    <row r="999">
      <c r="D999" s="4"/>
      <c r="I999" s="4"/>
    </row>
    <row r="1000">
      <c r="D1000" s="4"/>
      <c r="I1000" s="4"/>
    </row>
    <row r="1001">
      <c r="D1001" s="4"/>
      <c r="I1001" s="4"/>
    </row>
  </sheetData>
  <drawing r:id="rId1"/>
</worksheet>
</file>